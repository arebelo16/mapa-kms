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cen\Desktop\"/>
    </mc:Choice>
  </mc:AlternateContent>
  <xr:revisionPtr revIDLastSave="0" documentId="8_{9F8CC920-A653-498B-83F7-5E2A0C593DED}" xr6:coauthVersionLast="47" xr6:coauthVersionMax="47" xr10:uidLastSave="{00000000-0000-0000-0000-000000000000}"/>
  <bookViews>
    <workbookView xWindow="-108" yWindow="-108" windowWidth="23256" windowHeight="12456" xr2:uid="{F82C48F5-C700-4D67-9FCF-A70DDA53375D}"/>
  </bookViews>
  <sheets>
    <sheet name="Mapa de KMS" sheetId="3" r:id="rId1"/>
    <sheet name="Exemplo do Preenchimento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E40" i="3"/>
  <c r="D43" i="3"/>
  <c r="C43" i="3"/>
  <c r="E43" i="3"/>
  <c r="H36" i="3"/>
  <c r="C49" i="3"/>
  <c r="E49" i="3"/>
  <c r="C46" i="3"/>
  <c r="C42" i="3"/>
  <c r="C45" i="3"/>
  <c r="C41" i="3"/>
  <c r="C51" i="3"/>
  <c r="E51" i="3"/>
  <c r="E44" i="3"/>
  <c r="D47" i="3"/>
  <c r="E47" i="3"/>
  <c r="E53" i="3"/>
  <c r="D46" i="3"/>
  <c r="E46" i="3"/>
  <c r="D45" i="3"/>
  <c r="E45" i="3"/>
  <c r="D42" i="3"/>
  <c r="E42" i="3"/>
  <c r="D41" i="3"/>
  <c r="E41" i="3"/>
  <c r="H36" i="1"/>
  <c r="C49" i="1"/>
  <c r="C40" i="1"/>
  <c r="E40" i="1"/>
  <c r="D43" i="1"/>
  <c r="C43" i="1"/>
  <c r="E43" i="1"/>
  <c r="E49" i="1"/>
  <c r="C46" i="1"/>
  <c r="C42" i="1"/>
  <c r="C45" i="1"/>
  <c r="C41" i="1"/>
  <c r="C51" i="1"/>
  <c r="E51" i="1"/>
  <c r="E44" i="1"/>
  <c r="D47" i="1"/>
  <c r="E47" i="1"/>
  <c r="E53" i="1"/>
  <c r="D46" i="1"/>
  <c r="E46" i="1"/>
  <c r="D45" i="1"/>
  <c r="E45" i="1"/>
  <c r="D42" i="1"/>
  <c r="E42" i="1"/>
  <c r="D41" i="1"/>
  <c r="E41" i="1"/>
</calcChain>
</file>

<file path=xl/sharedStrings.xml><?xml version="1.0" encoding="utf-8"?>
<sst xmlns="http://schemas.openxmlformats.org/spreadsheetml/2006/main" count="124" uniqueCount="54">
  <si>
    <t>CATEGORIA :</t>
  </si>
  <si>
    <t xml:space="preserve"> </t>
  </si>
  <si>
    <t>DIAS</t>
  </si>
  <si>
    <t>Início ou Continuação</t>
  </si>
  <si>
    <t>Regresso</t>
  </si>
  <si>
    <t>%</t>
  </si>
  <si>
    <t>Kms</t>
  </si>
  <si>
    <t>LOCALIDADE/TRAJECTO</t>
  </si>
  <si>
    <t>MÊS</t>
  </si>
  <si>
    <t>Dia</t>
  </si>
  <si>
    <t>Hora</t>
  </si>
  <si>
    <t xml:space="preserve"> TOTAL</t>
  </si>
  <si>
    <t>Nº Dias/Kms.</t>
  </si>
  <si>
    <t>Valor Diário</t>
  </si>
  <si>
    <t>Sub-Total</t>
  </si>
  <si>
    <t>1.a)</t>
  </si>
  <si>
    <t xml:space="preserve">   Completas ( 100% )</t>
  </si>
  <si>
    <t xml:space="preserve"> Extenso : </t>
  </si>
  <si>
    <t>Nac.</t>
  </si>
  <si>
    <t xml:space="preserve">   Reduzidas (   75% )</t>
  </si>
  <si>
    <t xml:space="preserve">                  </t>
  </si>
  <si>
    <t xml:space="preserve">   Reduzidas (   50% )</t>
  </si>
  <si>
    <t xml:space="preserve">   Reduzidas (   25% )</t>
  </si>
  <si>
    <t>1.b)</t>
  </si>
  <si>
    <t>Est.</t>
  </si>
  <si>
    <t>2)</t>
  </si>
  <si>
    <t>km. Percorridos</t>
  </si>
  <si>
    <t>3)</t>
  </si>
  <si>
    <t>Subsídio de Alimentação</t>
  </si>
  <si>
    <t>TOTAL RECEBIDO ( 1 + 2 - 3 ) ………………………………………………..</t>
  </si>
  <si>
    <t xml:space="preserve">NOME DO FUNCIONÁRIO : </t>
  </si>
  <si>
    <t xml:space="preserve">Mês: </t>
  </si>
  <si>
    <t>GHH - Services Portugal, Lda.</t>
  </si>
  <si>
    <t>Descritivo Com o Cliente Descriminado</t>
  </si>
  <si>
    <t xml:space="preserve">VEÍCULO/Matrícula : </t>
  </si>
  <si>
    <t xml:space="preserve">Data : </t>
  </si>
  <si>
    <t>___/___/___</t>
  </si>
  <si>
    <t>Assinatura Funcionário:</t>
  </si>
  <si>
    <t>Assinatura Supervisor:</t>
  </si>
  <si>
    <t>XXXX</t>
  </si>
  <si>
    <t>XXXXXX</t>
  </si>
  <si>
    <t>Mês:  XXXXXXXXX</t>
  </si>
  <si>
    <t>NOME DO FUNCIONÁRIO : XXXXXXX</t>
  </si>
  <si>
    <t>DEPARTAMENTO  :  XXXXXXXXXXX</t>
  </si>
  <si>
    <t>Deslocação ao Porto para reunião com os clientes  X Y ou Z</t>
  </si>
  <si>
    <t xml:space="preserve">Deslocação ao cliente Y </t>
  </si>
  <si>
    <t xml:space="preserve">Deslocação `HN Porto para formação </t>
  </si>
  <si>
    <t>XXX</t>
  </si>
  <si>
    <t>XXXXXXXXXXXXXX</t>
  </si>
  <si>
    <t>(não é relevante, mas se estiver escrito melhor)</t>
  </si>
  <si>
    <t>XXXXXXXXXXXXXXX</t>
  </si>
  <si>
    <t>(deveria sempre ser suprevisionado e assinado por superior)</t>
  </si>
  <si>
    <t>(Sempre assinado, de acordo com o que falamos)</t>
  </si>
  <si>
    <t xml:space="preserve">DEPARTAMENTO 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</si>
</sst>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2" borderId="2" xfId="0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/>
    <xf numFmtId="0" fontId="7" fillId="2" borderId="9" xfId="0" applyFont="1" applyFill="1" applyBorder="1" applyAlignment="1">
      <alignment vertical="center"/>
    </xf>
    <xf numFmtId="1" fontId="0" fillId="2" borderId="9" xfId="0" applyNumberFormat="1" applyFill="1" applyBorder="1" applyAlignment="1">
      <alignment vertical="center"/>
    </xf>
    <xf numFmtId="4" fontId="0" fillId="2" borderId="9" xfId="0" applyNumberFormat="1" applyFill="1" applyBorder="1" applyAlignment="1">
      <alignment vertical="center"/>
    </xf>
    <xf numFmtId="4" fontId="7" fillId="2" borderId="9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4" fontId="0" fillId="2" borderId="7" xfId="0" applyNumberFormat="1" applyFill="1" applyBorder="1" applyAlignment="1">
      <alignment vertical="center"/>
    </xf>
    <xf numFmtId="4" fontId="7" fillId="2" borderId="7" xfId="0" applyNumberFormat="1" applyFont="1" applyFill="1" applyBorder="1" applyAlignment="1">
      <alignment vertical="center"/>
    </xf>
    <xf numFmtId="1" fontId="0" fillId="2" borderId="7" xfId="0" applyNumberForma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16" fontId="0" fillId="2" borderId="9" xfId="0" applyNumberForma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9" fontId="0" fillId="2" borderId="9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vertic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Continuous" vertical="center"/>
    </xf>
    <xf numFmtId="0" fontId="3" fillId="2" borderId="1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vertical="center"/>
    </xf>
    <xf numFmtId="0" fontId="0" fillId="2" borderId="17" xfId="0" applyFill="1" applyBorder="1"/>
    <xf numFmtId="0" fontId="1" fillId="2" borderId="18" xfId="0" applyFont="1" applyFill="1" applyBorder="1" applyAlignment="1">
      <alignment horizontal="center"/>
    </xf>
    <xf numFmtId="0" fontId="0" fillId="2" borderId="19" xfId="0" applyFill="1" applyBorder="1" applyAlignment="1">
      <alignment horizontal="left" vertical="top"/>
    </xf>
    <xf numFmtId="0" fontId="0" fillId="2" borderId="18" xfId="0" applyFill="1" applyBorder="1" applyAlignment="1">
      <alignment horizontal="left" vertical="top"/>
    </xf>
    <xf numFmtId="0" fontId="1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17" fontId="1" fillId="2" borderId="27" xfId="0" applyNumberFormat="1" applyFont="1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0" fontId="3" fillId="2" borderId="29" xfId="0" applyFont="1" applyFill="1" applyBorder="1" applyAlignment="1">
      <alignment horizontal="centerContinuous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29" xfId="0" applyFont="1" applyFill="1" applyBorder="1" applyAlignment="1">
      <alignment vertical="center"/>
    </xf>
    <xf numFmtId="0" fontId="0" fillId="2" borderId="2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vertical="center"/>
    </xf>
    <xf numFmtId="16" fontId="2" fillId="2" borderId="30" xfId="0" applyNumberFormat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28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1" fontId="0" fillId="2" borderId="0" xfId="0" applyNumberFormat="1" applyFill="1" applyAlignment="1">
      <alignment vertical="center"/>
    </xf>
    <xf numFmtId="4" fontId="0" fillId="2" borderId="0" xfId="0" applyNumberForma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0" fontId="7" fillId="2" borderId="29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0" fillId="2" borderId="28" xfId="0" applyFill="1" applyBorder="1"/>
    <xf numFmtId="0" fontId="0" fillId="2" borderId="0" xfId="0" applyFill="1"/>
    <xf numFmtId="3" fontId="0" fillId="2" borderId="0" xfId="0" applyNumberFormat="1" applyFill="1"/>
    <xf numFmtId="0" fontId="7" fillId="2" borderId="33" xfId="0" applyFont="1" applyFill="1" applyBorder="1" applyAlignment="1">
      <alignment horizontal="right" vertical="center"/>
    </xf>
    <xf numFmtId="0" fontId="8" fillId="2" borderId="29" xfId="0" applyFont="1" applyFill="1" applyBorder="1" applyAlignment="1">
      <alignment vertical="center"/>
    </xf>
    <xf numFmtId="0" fontId="0" fillId="2" borderId="28" xfId="0" applyFill="1" applyBorder="1" applyAlignment="1">
      <alignment horizontal="right" vertical="center"/>
    </xf>
    <xf numFmtId="3" fontId="0" fillId="2" borderId="0" xfId="0" applyNumberForma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4" fontId="9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top"/>
    </xf>
    <xf numFmtId="0" fontId="7" fillId="2" borderId="29" xfId="0" applyFont="1" applyFill="1" applyBorder="1" applyAlignment="1">
      <alignment horizontal="right" vertical="center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13" fillId="2" borderId="33" xfId="0" applyFont="1" applyFill="1" applyBorder="1" applyAlignment="1">
      <alignment horizontal="right" vertical="center"/>
    </xf>
    <xf numFmtId="0" fontId="13" fillId="2" borderId="7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4" fontId="14" fillId="2" borderId="7" xfId="0" applyNumberFormat="1" applyFont="1" applyFill="1" applyBorder="1" applyAlignment="1">
      <alignment vertical="center"/>
    </xf>
    <xf numFmtId="4" fontId="13" fillId="2" borderId="7" xfId="0" applyNumberFormat="1" applyFont="1" applyFill="1" applyBorder="1" applyAlignment="1">
      <alignment vertical="center"/>
    </xf>
    <xf numFmtId="0" fontId="11" fillId="0" borderId="1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9D8C-6C75-4B72-AE2B-08EA5D0D21FB}">
  <sheetPr>
    <pageSetUpPr fitToPage="1"/>
  </sheetPr>
  <dimension ref="A1:I55"/>
  <sheetViews>
    <sheetView tabSelected="1" topLeftCell="B29" workbookViewId="0">
      <selection activeCell="D30" sqref="D30"/>
    </sheetView>
  </sheetViews>
  <sheetFormatPr defaultRowHeight="14.4" x14ac:dyDescent="0.3"/>
  <cols>
    <col min="1" max="1" width="12.88671875" customWidth="1"/>
    <col min="2" max="2" width="65.33203125" customWidth="1"/>
    <col min="3" max="3" width="12.33203125" customWidth="1"/>
    <col min="4" max="4" width="16.44140625" customWidth="1"/>
    <col min="6" max="6" width="20" customWidth="1"/>
    <col min="7" max="7" width="12.6640625" customWidth="1"/>
    <col min="8" max="8" width="19.6640625" customWidth="1"/>
    <col min="9" max="9" width="48.44140625" customWidth="1"/>
  </cols>
  <sheetData>
    <row r="1" spans="1:9" ht="30" customHeight="1" thickTop="1" thickBot="1" x14ac:dyDescent="0.35">
      <c r="A1" s="56" t="s">
        <v>32</v>
      </c>
      <c r="B1" s="57"/>
      <c r="C1" s="58"/>
      <c r="D1" s="58"/>
      <c r="E1" s="58"/>
      <c r="F1" s="58"/>
      <c r="G1" s="58"/>
      <c r="H1" s="58"/>
      <c r="I1" s="59"/>
    </row>
    <row r="2" spans="1:9" ht="15" thickTop="1" x14ac:dyDescent="0.3">
      <c r="A2" s="60" t="s">
        <v>30</v>
      </c>
      <c r="B2" s="5"/>
      <c r="C2" s="20"/>
      <c r="D2" s="4" t="s">
        <v>0</v>
      </c>
      <c r="E2" s="5"/>
      <c r="F2" s="5"/>
      <c r="G2" s="5"/>
      <c r="H2" s="45" t="s">
        <v>1</v>
      </c>
      <c r="I2" s="61" t="s">
        <v>31</v>
      </c>
    </row>
    <row r="3" spans="1:9" ht="15" thickBot="1" x14ac:dyDescent="0.35">
      <c r="A3" s="62" t="s">
        <v>53</v>
      </c>
      <c r="B3" s="7"/>
      <c r="C3" s="15"/>
      <c r="D3" s="6" t="s">
        <v>34</v>
      </c>
      <c r="E3" s="7"/>
      <c r="F3" s="7"/>
      <c r="G3" s="7"/>
      <c r="H3" s="46"/>
      <c r="I3" s="63" t="s">
        <v>1</v>
      </c>
    </row>
    <row r="4" spans="1:9" ht="15" thickTop="1" x14ac:dyDescent="0.3">
      <c r="A4" s="64"/>
      <c r="B4" s="33"/>
      <c r="C4" s="8"/>
      <c r="D4" s="8"/>
      <c r="E4" s="36"/>
      <c r="F4" s="37"/>
      <c r="G4" s="8"/>
      <c r="H4" s="33"/>
      <c r="I4" s="65"/>
    </row>
    <row r="5" spans="1:9" x14ac:dyDescent="0.3">
      <c r="A5" s="66" t="s">
        <v>2</v>
      </c>
      <c r="B5" s="34" t="s">
        <v>33</v>
      </c>
      <c r="C5" s="67" t="s">
        <v>3</v>
      </c>
      <c r="D5" s="67"/>
      <c r="E5" s="38" t="s">
        <v>4</v>
      </c>
      <c r="F5" s="3"/>
      <c r="G5" s="67" t="s">
        <v>5</v>
      </c>
      <c r="H5" s="42" t="s">
        <v>6</v>
      </c>
      <c r="I5" s="68" t="s">
        <v>7</v>
      </c>
    </row>
    <row r="6" spans="1:9" x14ac:dyDescent="0.3">
      <c r="A6" s="66" t="s">
        <v>8</v>
      </c>
      <c r="B6" s="34"/>
      <c r="C6" s="69" t="s">
        <v>9</v>
      </c>
      <c r="D6" s="69" t="s">
        <v>10</v>
      </c>
      <c r="E6" s="2" t="s">
        <v>9</v>
      </c>
      <c r="F6" s="39" t="s">
        <v>10</v>
      </c>
      <c r="G6" s="70"/>
      <c r="H6" s="43"/>
      <c r="I6" s="71"/>
    </row>
    <row r="7" spans="1:9" x14ac:dyDescent="0.3">
      <c r="A7" s="72"/>
      <c r="B7" s="35"/>
      <c r="C7" s="73"/>
      <c r="D7" s="73"/>
      <c r="E7" s="40"/>
      <c r="F7" s="41"/>
      <c r="G7" s="47"/>
      <c r="H7" s="35"/>
      <c r="I7" s="74"/>
    </row>
    <row r="8" spans="1:9" x14ac:dyDescent="0.3">
      <c r="A8" s="75"/>
      <c r="B8" s="27"/>
      <c r="C8" s="26"/>
      <c r="D8" s="26"/>
      <c r="E8" s="26"/>
      <c r="F8" s="26"/>
      <c r="G8" s="27"/>
      <c r="H8" s="27"/>
      <c r="I8" s="76"/>
    </row>
    <row r="9" spans="1:9" x14ac:dyDescent="0.3">
      <c r="A9" s="75"/>
      <c r="B9" s="27"/>
      <c r="C9" s="26"/>
      <c r="D9" s="26"/>
      <c r="E9" s="26"/>
      <c r="F9" s="26"/>
      <c r="G9" s="27"/>
      <c r="H9" s="27"/>
      <c r="I9" s="76"/>
    </row>
    <row r="10" spans="1:9" x14ac:dyDescent="0.3">
      <c r="A10" s="75"/>
      <c r="B10" s="27"/>
      <c r="C10" s="26"/>
      <c r="D10" s="26"/>
      <c r="E10" s="26"/>
      <c r="F10" s="26"/>
      <c r="G10" s="27"/>
      <c r="H10" s="27"/>
      <c r="I10" s="76"/>
    </row>
    <row r="11" spans="1:9" x14ac:dyDescent="0.3">
      <c r="A11" s="75"/>
      <c r="B11" s="27"/>
      <c r="C11" s="26"/>
      <c r="D11" s="26"/>
      <c r="E11" s="26"/>
      <c r="F11" s="26"/>
      <c r="G11" s="27"/>
      <c r="H11" s="27"/>
      <c r="I11" s="76"/>
    </row>
    <row r="12" spans="1:9" x14ac:dyDescent="0.3">
      <c r="A12" s="75"/>
      <c r="B12" s="27"/>
      <c r="C12" s="26"/>
      <c r="D12" s="26"/>
      <c r="E12" s="26"/>
      <c r="F12" s="26"/>
      <c r="G12" s="27"/>
      <c r="H12" s="27"/>
      <c r="I12" s="76"/>
    </row>
    <row r="13" spans="1:9" x14ac:dyDescent="0.3">
      <c r="A13" s="75"/>
      <c r="B13" s="27"/>
      <c r="C13" s="26"/>
      <c r="D13" s="26"/>
      <c r="E13" s="26"/>
      <c r="F13" s="26"/>
      <c r="G13" s="27"/>
      <c r="H13" s="27"/>
      <c r="I13" s="76"/>
    </row>
    <row r="14" spans="1:9" x14ac:dyDescent="0.3">
      <c r="A14" s="75"/>
      <c r="B14" s="27"/>
      <c r="C14" s="26"/>
      <c r="D14" s="26"/>
      <c r="E14" s="26"/>
      <c r="F14" s="26"/>
      <c r="G14" s="27"/>
      <c r="H14" s="27"/>
      <c r="I14" s="76"/>
    </row>
    <row r="15" spans="1:9" x14ac:dyDescent="0.3">
      <c r="A15" s="75"/>
      <c r="B15" s="27"/>
      <c r="C15" s="26"/>
      <c r="D15" s="26"/>
      <c r="E15" s="26"/>
      <c r="F15" s="26"/>
      <c r="G15" s="27"/>
      <c r="H15" s="27"/>
      <c r="I15" s="76"/>
    </row>
    <row r="16" spans="1:9" x14ac:dyDescent="0.3">
      <c r="A16" s="75"/>
      <c r="B16" s="27"/>
      <c r="C16" s="26"/>
      <c r="D16" s="26"/>
      <c r="E16" s="26"/>
      <c r="F16" s="26"/>
      <c r="G16" s="27"/>
      <c r="H16" s="27"/>
      <c r="I16" s="76"/>
    </row>
    <row r="17" spans="1:9" x14ac:dyDescent="0.3">
      <c r="A17" s="75"/>
      <c r="B17" s="27"/>
      <c r="C17" s="26"/>
      <c r="D17" s="26"/>
      <c r="E17" s="26"/>
      <c r="F17" s="26"/>
      <c r="G17" s="27"/>
      <c r="H17" s="27"/>
      <c r="I17" s="76"/>
    </row>
    <row r="18" spans="1:9" x14ac:dyDescent="0.3">
      <c r="A18" s="75"/>
      <c r="B18" s="27"/>
      <c r="C18" s="26"/>
      <c r="D18" s="26"/>
      <c r="E18" s="26"/>
      <c r="F18" s="26"/>
      <c r="G18" s="27"/>
      <c r="H18" s="27"/>
      <c r="I18" s="76"/>
    </row>
    <row r="19" spans="1:9" x14ac:dyDescent="0.3">
      <c r="A19" s="75"/>
      <c r="B19" s="27"/>
      <c r="C19" s="26"/>
      <c r="D19" s="26"/>
      <c r="E19" s="26"/>
      <c r="F19" s="26"/>
      <c r="G19" s="27"/>
      <c r="H19" s="27"/>
      <c r="I19" s="76"/>
    </row>
    <row r="20" spans="1:9" x14ac:dyDescent="0.3">
      <c r="A20" s="75"/>
      <c r="B20" s="27"/>
      <c r="C20" s="26"/>
      <c r="D20" s="26"/>
      <c r="E20" s="26"/>
      <c r="F20" s="26"/>
      <c r="G20" s="27"/>
      <c r="H20" s="27"/>
      <c r="I20" s="76"/>
    </row>
    <row r="21" spans="1:9" x14ac:dyDescent="0.3">
      <c r="A21" s="75"/>
      <c r="B21" s="27"/>
      <c r="C21" s="26"/>
      <c r="D21" s="26"/>
      <c r="E21" s="26"/>
      <c r="F21" s="26"/>
      <c r="G21" s="27"/>
      <c r="H21" s="27"/>
      <c r="I21" s="76"/>
    </row>
    <row r="22" spans="1:9" x14ac:dyDescent="0.3">
      <c r="A22" s="75"/>
      <c r="B22" s="27"/>
      <c r="C22" s="26"/>
      <c r="D22" s="26"/>
      <c r="E22" s="26"/>
      <c r="F22" s="26"/>
      <c r="G22" s="27"/>
      <c r="H22" s="27"/>
      <c r="I22" s="76"/>
    </row>
    <row r="23" spans="1:9" x14ac:dyDescent="0.3">
      <c r="A23" s="75"/>
      <c r="B23" s="27"/>
      <c r="C23" s="26"/>
      <c r="D23" s="26"/>
      <c r="E23" s="26"/>
      <c r="F23" s="26"/>
      <c r="G23" s="27"/>
      <c r="H23" s="27"/>
      <c r="I23" s="76"/>
    </row>
    <row r="24" spans="1:9" x14ac:dyDescent="0.3">
      <c r="A24" s="75"/>
      <c r="B24" s="27"/>
      <c r="C24" s="26"/>
      <c r="D24" s="26"/>
      <c r="E24" s="26"/>
      <c r="F24" s="26"/>
      <c r="G24" s="27"/>
      <c r="H24" s="27"/>
      <c r="I24" s="76"/>
    </row>
    <row r="25" spans="1:9" x14ac:dyDescent="0.3">
      <c r="A25" s="75"/>
      <c r="B25" s="27"/>
      <c r="C25" s="26"/>
      <c r="D25" s="26"/>
      <c r="E25" s="26"/>
      <c r="F25" s="26"/>
      <c r="G25" s="27"/>
      <c r="H25" s="27"/>
      <c r="I25" s="76"/>
    </row>
    <row r="26" spans="1:9" x14ac:dyDescent="0.3">
      <c r="A26" s="75"/>
      <c r="B26" s="27"/>
      <c r="C26" s="26"/>
      <c r="D26" s="26"/>
      <c r="E26" s="26"/>
      <c r="F26" s="26"/>
      <c r="G26" s="27"/>
      <c r="H26" s="27"/>
      <c r="I26" s="76"/>
    </row>
    <row r="27" spans="1:9" x14ac:dyDescent="0.3">
      <c r="A27" s="75"/>
      <c r="B27" s="27"/>
      <c r="C27" s="26"/>
      <c r="D27" s="26"/>
      <c r="E27" s="26"/>
      <c r="F27" s="26"/>
      <c r="G27" s="27"/>
      <c r="H27" s="27"/>
      <c r="I27" s="76"/>
    </row>
    <row r="28" spans="1:9" x14ac:dyDescent="0.3">
      <c r="A28" s="75"/>
      <c r="B28" s="27"/>
      <c r="C28" s="26"/>
      <c r="D28" s="26"/>
      <c r="E28" s="26"/>
      <c r="F28" s="26"/>
      <c r="G28" s="27"/>
      <c r="H28" s="27"/>
      <c r="I28" s="76"/>
    </row>
    <row r="29" spans="1:9" x14ac:dyDescent="0.3">
      <c r="A29" s="75"/>
      <c r="B29" s="27"/>
      <c r="C29" s="26"/>
      <c r="D29" s="26"/>
      <c r="E29" s="26"/>
      <c r="F29" s="26"/>
      <c r="G29" s="27"/>
      <c r="H29" s="27"/>
      <c r="I29" s="76"/>
    </row>
    <row r="30" spans="1:9" x14ac:dyDescent="0.3">
      <c r="A30" s="77"/>
      <c r="B30" s="29"/>
      <c r="C30" s="28"/>
      <c r="D30" s="30"/>
      <c r="E30" s="28"/>
      <c r="F30" s="30"/>
      <c r="G30" s="31"/>
      <c r="H30" s="26"/>
      <c r="I30" s="76"/>
    </row>
    <row r="31" spans="1:9" x14ac:dyDescent="0.3">
      <c r="A31" s="77"/>
      <c r="B31" s="29"/>
      <c r="C31" s="28"/>
      <c r="D31" s="30"/>
      <c r="E31" s="28"/>
      <c r="F31" s="30"/>
      <c r="G31" s="31"/>
      <c r="H31" s="26"/>
      <c r="I31" s="76"/>
    </row>
    <row r="32" spans="1:9" x14ac:dyDescent="0.3">
      <c r="A32" s="77"/>
      <c r="B32" s="29"/>
      <c r="C32" s="28"/>
      <c r="D32" s="30"/>
      <c r="E32" s="28"/>
      <c r="F32" s="30"/>
      <c r="G32" s="31"/>
      <c r="H32" s="26"/>
      <c r="I32" s="76"/>
    </row>
    <row r="33" spans="1:9" x14ac:dyDescent="0.3">
      <c r="A33" s="77"/>
      <c r="B33" s="29"/>
      <c r="C33" s="28"/>
      <c r="D33" s="30"/>
      <c r="E33" s="28"/>
      <c r="F33" s="30"/>
      <c r="G33" s="31"/>
      <c r="H33" s="26"/>
      <c r="I33" s="76"/>
    </row>
    <row r="34" spans="1:9" x14ac:dyDescent="0.3">
      <c r="A34" s="77"/>
      <c r="B34" s="29"/>
      <c r="C34" s="28"/>
      <c r="D34" s="30"/>
      <c r="E34" s="28"/>
      <c r="F34" s="30"/>
      <c r="G34" s="31"/>
      <c r="H34" s="26"/>
      <c r="I34" s="76"/>
    </row>
    <row r="35" spans="1:9" x14ac:dyDescent="0.3">
      <c r="A35" s="77"/>
      <c r="B35" s="29"/>
      <c r="C35" s="32"/>
      <c r="D35" s="30"/>
      <c r="E35" s="32"/>
      <c r="F35" s="30"/>
      <c r="G35" s="31"/>
      <c r="H35" s="26"/>
      <c r="I35" s="76"/>
    </row>
    <row r="36" spans="1:9" ht="15" thickBot="1" x14ac:dyDescent="0.35">
      <c r="A36" s="78" t="s">
        <v>1</v>
      </c>
      <c r="B36" s="22" t="s">
        <v>11</v>
      </c>
      <c r="C36" s="23"/>
      <c r="D36" s="24"/>
      <c r="E36" s="23"/>
      <c r="F36" s="24"/>
      <c r="G36" s="25"/>
      <c r="H36" s="9">
        <f>SUM(H8:H35)</f>
        <v>0</v>
      </c>
      <c r="I36" s="79"/>
    </row>
    <row r="37" spans="1:9" ht="15" thickTop="1" x14ac:dyDescent="0.3">
      <c r="A37" s="80"/>
      <c r="B37" s="47"/>
      <c r="C37" s="47"/>
      <c r="D37" s="47"/>
      <c r="E37" s="47"/>
      <c r="F37" s="47"/>
      <c r="G37" s="47"/>
      <c r="H37" s="47"/>
      <c r="I37" s="74"/>
    </row>
    <row r="38" spans="1:9" ht="15" thickBot="1" x14ac:dyDescent="0.35">
      <c r="A38" s="80"/>
      <c r="B38" s="47"/>
      <c r="C38" s="81" t="s">
        <v>12</v>
      </c>
      <c r="D38" s="81" t="s">
        <v>13</v>
      </c>
      <c r="E38" s="81" t="s">
        <v>14</v>
      </c>
      <c r="F38" s="47"/>
      <c r="G38" s="47"/>
      <c r="H38" s="47"/>
      <c r="I38" s="74"/>
    </row>
    <row r="39" spans="1:9" ht="15" thickTop="1" x14ac:dyDescent="0.3">
      <c r="A39" s="64"/>
      <c r="B39" s="10"/>
      <c r="C39" s="10"/>
      <c r="D39" s="10"/>
      <c r="E39" s="10"/>
      <c r="F39" s="51"/>
      <c r="G39" s="8"/>
      <c r="H39" s="8"/>
      <c r="I39" s="65"/>
    </row>
    <row r="40" spans="1:9" x14ac:dyDescent="0.3">
      <c r="A40" s="82" t="s">
        <v>15</v>
      </c>
      <c r="B40" s="83" t="s">
        <v>16</v>
      </c>
      <c r="C40" s="84">
        <f>COUNTIF(G30:G34,1)-C44</f>
        <v>0</v>
      </c>
      <c r="D40" s="85">
        <v>0</v>
      </c>
      <c r="E40" s="86">
        <f>ROUND(+D40*C40,2)</f>
        <v>0</v>
      </c>
      <c r="F40" s="52" t="s">
        <v>17</v>
      </c>
      <c r="G40" s="48"/>
      <c r="H40" s="49"/>
      <c r="I40" s="87"/>
    </row>
    <row r="41" spans="1:9" x14ac:dyDescent="0.3">
      <c r="A41" s="82" t="s">
        <v>18</v>
      </c>
      <c r="B41" s="83" t="s">
        <v>19</v>
      </c>
      <c r="C41" s="84">
        <f>COUNTIF(G30:G34,0.75)-C45</f>
        <v>0</v>
      </c>
      <c r="D41" s="85">
        <f>+D40*0.75</f>
        <v>0</v>
      </c>
      <c r="E41" s="85">
        <f>+D41*C41</f>
        <v>0</v>
      </c>
      <c r="F41" s="53" t="s">
        <v>20</v>
      </c>
      <c r="G41" s="50"/>
      <c r="H41" s="50"/>
      <c r="I41" s="88"/>
    </row>
    <row r="42" spans="1:9" x14ac:dyDescent="0.3">
      <c r="A42" s="89"/>
      <c r="B42" s="83" t="s">
        <v>21</v>
      </c>
      <c r="C42" s="84">
        <f>COUNTIF(G30:G34,0.5)-C46</f>
        <v>0</v>
      </c>
      <c r="D42" s="85">
        <f>+D40*0.5</f>
        <v>0</v>
      </c>
      <c r="E42" s="86">
        <f>+D42*C42</f>
        <v>0</v>
      </c>
      <c r="F42" s="54"/>
      <c r="G42" s="47"/>
      <c r="H42" s="47"/>
      <c r="I42" s="74"/>
    </row>
    <row r="43" spans="1:9" ht="16.2" thickBot="1" x14ac:dyDescent="0.35">
      <c r="A43" s="90"/>
      <c r="B43" s="11" t="s">
        <v>22</v>
      </c>
      <c r="C43" s="12">
        <f>COUNTIF(G30:G34,0.25)-C47</f>
        <v>0</v>
      </c>
      <c r="D43" s="13">
        <f>+D40*0.25</f>
        <v>0</v>
      </c>
      <c r="E43" s="14">
        <f>+D43*C43</f>
        <v>0</v>
      </c>
      <c r="F43" s="112" t="s">
        <v>37</v>
      </c>
      <c r="G43" s="113"/>
      <c r="H43" s="47"/>
      <c r="I43" s="74"/>
    </row>
    <row r="44" spans="1:9" ht="15" thickTop="1" x14ac:dyDescent="0.3">
      <c r="A44" s="82" t="s">
        <v>23</v>
      </c>
      <c r="B44" s="83" t="s">
        <v>16</v>
      </c>
      <c r="C44" s="47">
        <v>0</v>
      </c>
      <c r="D44" s="85">
        <v>0</v>
      </c>
      <c r="E44" s="86">
        <f>ROUND(+D44*C44,2)</f>
        <v>0</v>
      </c>
      <c r="F44" s="55"/>
      <c r="G44" s="47"/>
      <c r="H44" s="47"/>
      <c r="I44" s="74"/>
    </row>
    <row r="45" spans="1:9" ht="15.6" x14ac:dyDescent="0.3">
      <c r="A45" s="82" t="s">
        <v>24</v>
      </c>
      <c r="B45" s="83" t="s">
        <v>19</v>
      </c>
      <c r="C45" s="47">
        <f>COUNTIF(G30:G39,0.75)</f>
        <v>0</v>
      </c>
      <c r="D45" s="85">
        <f>+D44*0.75</f>
        <v>0</v>
      </c>
      <c r="E45" s="85">
        <f>+D45*C45</f>
        <v>0</v>
      </c>
      <c r="F45" s="114"/>
      <c r="G45" s="115"/>
      <c r="H45" s="115"/>
      <c r="I45" s="116"/>
    </row>
    <row r="46" spans="1:9" ht="15.6" x14ac:dyDescent="0.3">
      <c r="A46" s="89"/>
      <c r="B46" s="83" t="s">
        <v>21</v>
      </c>
      <c r="C46" s="47">
        <f>COUNTIF(G30:G39,0.5)</f>
        <v>0</v>
      </c>
      <c r="D46" s="85">
        <f>+D44*0.5</f>
        <v>0</v>
      </c>
      <c r="E46" s="86">
        <f>+D46*C46</f>
        <v>0</v>
      </c>
      <c r="F46" s="112" t="s">
        <v>38</v>
      </c>
      <c r="G46" s="113"/>
      <c r="H46" s="113"/>
      <c r="I46" s="74"/>
    </row>
    <row r="47" spans="1:9" x14ac:dyDescent="0.3">
      <c r="A47" s="89"/>
      <c r="B47" s="83" t="s">
        <v>22</v>
      </c>
      <c r="C47" s="47">
        <v>0</v>
      </c>
      <c r="D47" s="85">
        <f>+D44*0.25</f>
        <v>0</v>
      </c>
      <c r="E47" s="86">
        <f>+D47*C47</f>
        <v>0</v>
      </c>
      <c r="F47" s="55"/>
      <c r="G47" s="47"/>
      <c r="H47" s="47"/>
      <c r="I47" s="74"/>
    </row>
    <row r="48" spans="1:9" ht="15" thickBot="1" x14ac:dyDescent="0.35">
      <c r="A48" s="91"/>
      <c r="B48" s="92"/>
      <c r="C48" s="92"/>
      <c r="D48" s="92"/>
      <c r="E48" s="93"/>
      <c r="F48" s="117"/>
      <c r="G48" s="118"/>
      <c r="H48" s="118"/>
      <c r="I48" s="119"/>
    </row>
    <row r="49" spans="1:9" ht="16.8" thickTop="1" thickBot="1" x14ac:dyDescent="0.35">
      <c r="A49" s="107" t="s">
        <v>25</v>
      </c>
      <c r="B49" s="108" t="s">
        <v>26</v>
      </c>
      <c r="C49" s="109">
        <f>SUM(H36)</f>
        <v>0</v>
      </c>
      <c r="D49" s="110">
        <v>0.4</v>
      </c>
      <c r="E49" s="111">
        <f>C49*D49</f>
        <v>0</v>
      </c>
      <c r="F49" s="1"/>
      <c r="G49" s="47"/>
      <c r="H49" s="47"/>
      <c r="I49" s="74"/>
    </row>
    <row r="50" spans="1:9" ht="15.6" thickTop="1" thickBot="1" x14ac:dyDescent="0.35">
      <c r="A50" s="91"/>
      <c r="B50" s="92"/>
      <c r="C50" s="92"/>
      <c r="D50" s="92"/>
      <c r="E50" s="93"/>
      <c r="F50" s="44" t="s">
        <v>35</v>
      </c>
      <c r="G50" s="120" t="s">
        <v>36</v>
      </c>
      <c r="H50" s="120"/>
      <c r="I50" s="74"/>
    </row>
    <row r="51" spans="1:9" ht="15.6" thickTop="1" thickBot="1" x14ac:dyDescent="0.35">
      <c r="A51" s="94" t="s">
        <v>27</v>
      </c>
      <c r="B51" s="16" t="s">
        <v>28</v>
      </c>
      <c r="C51" s="19">
        <f>+C43+C42+C41+C40+C44+C45+C46+C47</f>
        <v>0</v>
      </c>
      <c r="D51" s="17"/>
      <c r="E51" s="18">
        <f>+C51*D51</f>
        <v>0</v>
      </c>
      <c r="F51" s="21"/>
      <c r="G51" s="120"/>
      <c r="H51" s="120"/>
      <c r="I51" s="95"/>
    </row>
    <row r="52" spans="1:9" ht="15" thickTop="1" x14ac:dyDescent="0.3">
      <c r="A52" s="96"/>
      <c r="B52" s="47"/>
      <c r="C52" s="47"/>
      <c r="D52" s="85"/>
      <c r="E52" s="97"/>
      <c r="F52" s="98"/>
      <c r="G52" s="47"/>
      <c r="H52" s="47"/>
      <c r="I52" s="74"/>
    </row>
    <row r="53" spans="1:9" x14ac:dyDescent="0.3">
      <c r="A53" s="80"/>
      <c r="B53" s="99" t="s">
        <v>29</v>
      </c>
      <c r="C53" s="100"/>
      <c r="D53" s="100"/>
      <c r="E53" s="101">
        <f>+E40+E43+E49-E51+E44+E47</f>
        <v>0</v>
      </c>
      <c r="F53" s="102"/>
      <c r="G53" s="85"/>
      <c r="H53" s="47"/>
      <c r="I53" s="103"/>
    </row>
    <row r="54" spans="1:9" ht="15" thickBot="1" x14ac:dyDescent="0.35">
      <c r="A54" s="104"/>
      <c r="B54" s="105"/>
      <c r="C54" s="105"/>
      <c r="D54" s="105"/>
      <c r="E54" s="105"/>
      <c r="F54" s="105"/>
      <c r="G54" s="105"/>
      <c r="H54" s="105"/>
      <c r="I54" s="106"/>
    </row>
    <row r="55" spans="1:9" ht="15" thickTop="1" x14ac:dyDescent="0.3"/>
  </sheetData>
  <mergeCells count="5">
    <mergeCell ref="F43:G43"/>
    <mergeCell ref="F45:I45"/>
    <mergeCell ref="F46:H46"/>
    <mergeCell ref="F48:I48"/>
    <mergeCell ref="G50:H5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80CB-303F-4391-A9D3-9F58855FDDA0}">
  <sheetPr>
    <pageSetUpPr fitToPage="1"/>
  </sheetPr>
  <dimension ref="A1:I55"/>
  <sheetViews>
    <sheetView workbookViewId="0">
      <selection activeCell="H11" sqref="H11"/>
    </sheetView>
  </sheetViews>
  <sheetFormatPr defaultRowHeight="14.4" x14ac:dyDescent="0.3"/>
  <cols>
    <col min="1" max="1" width="12.88671875" customWidth="1"/>
    <col min="2" max="2" width="65.33203125" customWidth="1"/>
    <col min="3" max="3" width="12.33203125" customWidth="1"/>
    <col min="4" max="4" width="16.44140625" customWidth="1"/>
    <col min="6" max="6" width="20" customWidth="1"/>
    <col min="7" max="7" width="12.6640625" customWidth="1"/>
    <col min="8" max="8" width="19.6640625" customWidth="1"/>
    <col min="9" max="9" width="48.44140625" customWidth="1"/>
  </cols>
  <sheetData>
    <row r="1" spans="1:9" ht="30" customHeight="1" thickTop="1" thickBot="1" x14ac:dyDescent="0.35">
      <c r="A1" s="56" t="s">
        <v>32</v>
      </c>
      <c r="B1" s="57"/>
      <c r="C1" s="58"/>
      <c r="D1" s="58"/>
      <c r="E1" s="58"/>
      <c r="F1" s="58"/>
      <c r="G1" s="58"/>
      <c r="H1" s="58"/>
      <c r="I1" s="59"/>
    </row>
    <row r="2" spans="1:9" ht="15" thickTop="1" x14ac:dyDescent="0.3">
      <c r="A2" s="60" t="s">
        <v>42</v>
      </c>
      <c r="B2" s="5"/>
      <c r="C2" s="20"/>
      <c r="D2" s="4" t="s">
        <v>0</v>
      </c>
      <c r="E2" s="5" t="s">
        <v>39</v>
      </c>
      <c r="F2" s="5"/>
      <c r="G2" s="5"/>
      <c r="H2" s="45" t="s">
        <v>1</v>
      </c>
      <c r="I2" s="61" t="s">
        <v>41</v>
      </c>
    </row>
    <row r="3" spans="1:9" ht="15" thickBot="1" x14ac:dyDescent="0.35">
      <c r="A3" s="62" t="s">
        <v>43</v>
      </c>
      <c r="B3" s="7"/>
      <c r="C3" s="15"/>
      <c r="D3" s="6" t="s">
        <v>34</v>
      </c>
      <c r="E3" s="7" t="s">
        <v>40</v>
      </c>
      <c r="F3" s="7"/>
      <c r="G3" s="7"/>
      <c r="H3" s="46"/>
      <c r="I3" s="63" t="s">
        <v>1</v>
      </c>
    </row>
    <row r="4" spans="1:9" ht="15" thickTop="1" x14ac:dyDescent="0.3">
      <c r="A4" s="64"/>
      <c r="B4" s="33"/>
      <c r="C4" s="8"/>
      <c r="D4" s="8"/>
      <c r="E4" s="36"/>
      <c r="F4" s="37"/>
      <c r="G4" s="8"/>
      <c r="H4" s="33"/>
      <c r="I4" s="65"/>
    </row>
    <row r="5" spans="1:9" x14ac:dyDescent="0.3">
      <c r="A5" s="66" t="s">
        <v>2</v>
      </c>
      <c r="B5" s="34" t="s">
        <v>33</v>
      </c>
      <c r="C5" s="67" t="s">
        <v>3</v>
      </c>
      <c r="D5" s="67"/>
      <c r="E5" s="38" t="s">
        <v>4</v>
      </c>
      <c r="F5" s="3"/>
      <c r="G5" s="67" t="s">
        <v>5</v>
      </c>
      <c r="H5" s="42" t="s">
        <v>6</v>
      </c>
      <c r="I5" s="68" t="s">
        <v>7</v>
      </c>
    </row>
    <row r="6" spans="1:9" x14ac:dyDescent="0.3">
      <c r="A6" s="66" t="s">
        <v>8</v>
      </c>
      <c r="B6" s="34"/>
      <c r="C6" s="69" t="s">
        <v>9</v>
      </c>
      <c r="D6" s="69" t="s">
        <v>10</v>
      </c>
      <c r="E6" s="2" t="s">
        <v>9</v>
      </c>
      <c r="F6" s="39" t="s">
        <v>10</v>
      </c>
      <c r="G6" s="70"/>
      <c r="H6" s="43"/>
      <c r="I6" s="71"/>
    </row>
    <row r="7" spans="1:9" x14ac:dyDescent="0.3">
      <c r="A7" s="72"/>
      <c r="B7" s="35"/>
      <c r="C7" s="73"/>
      <c r="D7" s="73"/>
      <c r="E7" s="40"/>
      <c r="F7" s="41"/>
      <c r="G7" s="47"/>
      <c r="H7" s="35"/>
      <c r="I7" s="74"/>
    </row>
    <row r="8" spans="1:9" x14ac:dyDescent="0.3">
      <c r="A8" s="75" t="s">
        <v>47</v>
      </c>
      <c r="B8" s="27" t="s">
        <v>45</v>
      </c>
      <c r="C8" s="26" t="s">
        <v>39</v>
      </c>
      <c r="D8" s="26" t="s">
        <v>39</v>
      </c>
      <c r="E8" s="26" t="s">
        <v>39</v>
      </c>
      <c r="F8" s="26" t="s">
        <v>39</v>
      </c>
      <c r="G8" s="27"/>
      <c r="H8" s="27">
        <v>12</v>
      </c>
      <c r="I8" s="76" t="s">
        <v>48</v>
      </c>
    </row>
    <row r="9" spans="1:9" x14ac:dyDescent="0.3">
      <c r="A9" s="75" t="s">
        <v>47</v>
      </c>
      <c r="B9" s="27" t="s">
        <v>44</v>
      </c>
      <c r="C9" s="26" t="s">
        <v>39</v>
      </c>
      <c r="D9" s="26" t="s">
        <v>39</v>
      </c>
      <c r="E9" s="26" t="s">
        <v>39</v>
      </c>
      <c r="F9" s="26" t="s">
        <v>39</v>
      </c>
      <c r="G9" s="27"/>
      <c r="H9" s="27">
        <v>200</v>
      </c>
      <c r="I9" s="76" t="s">
        <v>48</v>
      </c>
    </row>
    <row r="10" spans="1:9" x14ac:dyDescent="0.3">
      <c r="A10" s="75" t="s">
        <v>47</v>
      </c>
      <c r="B10" s="27" t="s">
        <v>46</v>
      </c>
      <c r="C10" s="26" t="s">
        <v>39</v>
      </c>
      <c r="D10" s="26" t="s">
        <v>39</v>
      </c>
      <c r="E10" s="26" t="s">
        <v>39</v>
      </c>
      <c r="F10" s="26" t="s">
        <v>39</v>
      </c>
      <c r="G10" s="27"/>
      <c r="H10" s="27">
        <v>120</v>
      </c>
      <c r="I10" s="76" t="s">
        <v>48</v>
      </c>
    </row>
    <row r="11" spans="1:9" x14ac:dyDescent="0.3">
      <c r="A11" s="75"/>
      <c r="B11" s="27"/>
      <c r="C11" s="26"/>
      <c r="D11" s="26"/>
      <c r="E11" s="26"/>
      <c r="F11" s="26"/>
      <c r="G11" s="27"/>
      <c r="H11" s="27"/>
      <c r="I11" s="76"/>
    </row>
    <row r="12" spans="1:9" x14ac:dyDescent="0.3">
      <c r="A12" s="75"/>
      <c r="B12" s="27"/>
      <c r="C12" s="26"/>
      <c r="D12" s="26"/>
      <c r="E12" s="26"/>
      <c r="F12" s="26"/>
      <c r="G12" s="27"/>
      <c r="H12" s="27"/>
      <c r="I12" s="76"/>
    </row>
    <row r="13" spans="1:9" x14ac:dyDescent="0.3">
      <c r="A13" s="75"/>
      <c r="B13" s="27"/>
      <c r="C13" s="26"/>
      <c r="D13" s="26"/>
      <c r="E13" s="26"/>
      <c r="F13" s="26"/>
      <c r="G13" s="27"/>
      <c r="H13" s="27"/>
      <c r="I13" s="76"/>
    </row>
    <row r="14" spans="1:9" x14ac:dyDescent="0.3">
      <c r="A14" s="75"/>
      <c r="B14" s="27"/>
      <c r="C14" s="26"/>
      <c r="D14" s="26"/>
      <c r="E14" s="26"/>
      <c r="F14" s="26"/>
      <c r="G14" s="27"/>
      <c r="H14" s="27"/>
      <c r="I14" s="76"/>
    </row>
    <row r="15" spans="1:9" x14ac:dyDescent="0.3">
      <c r="A15" s="75"/>
      <c r="B15" s="27"/>
      <c r="C15" s="26"/>
      <c r="D15" s="26"/>
      <c r="E15" s="26"/>
      <c r="F15" s="26"/>
      <c r="G15" s="27"/>
      <c r="H15" s="27"/>
      <c r="I15" s="76"/>
    </row>
    <row r="16" spans="1:9" x14ac:dyDescent="0.3">
      <c r="A16" s="75"/>
      <c r="B16" s="27"/>
      <c r="C16" s="26"/>
      <c r="D16" s="26"/>
      <c r="E16" s="26"/>
      <c r="F16" s="26"/>
      <c r="G16" s="27"/>
      <c r="H16" s="27"/>
      <c r="I16" s="76"/>
    </row>
    <row r="17" spans="1:9" x14ac:dyDescent="0.3">
      <c r="A17" s="75"/>
      <c r="B17" s="27"/>
      <c r="C17" s="26"/>
      <c r="D17" s="26"/>
      <c r="E17" s="26"/>
      <c r="F17" s="26"/>
      <c r="G17" s="27"/>
      <c r="H17" s="27"/>
      <c r="I17" s="76"/>
    </row>
    <row r="18" spans="1:9" x14ac:dyDescent="0.3">
      <c r="A18" s="75"/>
      <c r="B18" s="27"/>
      <c r="C18" s="26"/>
      <c r="D18" s="26"/>
      <c r="E18" s="26"/>
      <c r="F18" s="26"/>
      <c r="G18" s="27"/>
      <c r="H18" s="27"/>
      <c r="I18" s="76"/>
    </row>
    <row r="19" spans="1:9" x14ac:dyDescent="0.3">
      <c r="A19" s="75"/>
      <c r="B19" s="27"/>
      <c r="C19" s="26"/>
      <c r="D19" s="26"/>
      <c r="E19" s="26"/>
      <c r="F19" s="26"/>
      <c r="G19" s="27"/>
      <c r="H19" s="27"/>
      <c r="I19" s="76"/>
    </row>
    <row r="20" spans="1:9" x14ac:dyDescent="0.3">
      <c r="A20" s="75"/>
      <c r="B20" s="27"/>
      <c r="C20" s="26"/>
      <c r="D20" s="26"/>
      <c r="E20" s="26"/>
      <c r="F20" s="26"/>
      <c r="G20" s="27"/>
      <c r="H20" s="27"/>
      <c r="I20" s="76"/>
    </row>
    <row r="21" spans="1:9" x14ac:dyDescent="0.3">
      <c r="A21" s="75"/>
      <c r="B21" s="27"/>
      <c r="C21" s="26"/>
      <c r="D21" s="26"/>
      <c r="E21" s="26"/>
      <c r="F21" s="26"/>
      <c r="G21" s="27"/>
      <c r="H21" s="27"/>
      <c r="I21" s="76"/>
    </row>
    <row r="22" spans="1:9" x14ac:dyDescent="0.3">
      <c r="A22" s="75"/>
      <c r="B22" s="27"/>
      <c r="C22" s="26"/>
      <c r="D22" s="26"/>
      <c r="E22" s="26"/>
      <c r="F22" s="26"/>
      <c r="G22" s="27"/>
      <c r="H22" s="27"/>
      <c r="I22" s="76"/>
    </row>
    <row r="23" spans="1:9" x14ac:dyDescent="0.3">
      <c r="A23" s="75"/>
      <c r="B23" s="27"/>
      <c r="C23" s="26"/>
      <c r="D23" s="26"/>
      <c r="E23" s="26"/>
      <c r="F23" s="26"/>
      <c r="G23" s="27"/>
      <c r="H23" s="27"/>
      <c r="I23" s="76"/>
    </row>
    <row r="24" spans="1:9" x14ac:dyDescent="0.3">
      <c r="A24" s="75"/>
      <c r="B24" s="27"/>
      <c r="C24" s="26"/>
      <c r="D24" s="26"/>
      <c r="E24" s="26"/>
      <c r="F24" s="26"/>
      <c r="G24" s="27"/>
      <c r="H24" s="27"/>
      <c r="I24" s="76"/>
    </row>
    <row r="25" spans="1:9" x14ac:dyDescent="0.3">
      <c r="A25" s="75"/>
      <c r="B25" s="27"/>
      <c r="C25" s="26"/>
      <c r="D25" s="26"/>
      <c r="E25" s="26"/>
      <c r="F25" s="26"/>
      <c r="G25" s="27"/>
      <c r="H25" s="27"/>
      <c r="I25" s="76"/>
    </row>
    <row r="26" spans="1:9" x14ac:dyDescent="0.3">
      <c r="A26" s="75"/>
      <c r="B26" s="27"/>
      <c r="C26" s="26"/>
      <c r="D26" s="26"/>
      <c r="E26" s="26"/>
      <c r="F26" s="26"/>
      <c r="G26" s="27"/>
      <c r="H26" s="27"/>
      <c r="I26" s="76"/>
    </row>
    <row r="27" spans="1:9" x14ac:dyDescent="0.3">
      <c r="A27" s="75"/>
      <c r="B27" s="27"/>
      <c r="C27" s="26"/>
      <c r="D27" s="26"/>
      <c r="E27" s="26"/>
      <c r="F27" s="26"/>
      <c r="G27" s="27"/>
      <c r="H27" s="27"/>
      <c r="I27" s="76"/>
    </row>
    <row r="28" spans="1:9" x14ac:dyDescent="0.3">
      <c r="A28" s="75"/>
      <c r="B28" s="27"/>
      <c r="C28" s="26"/>
      <c r="D28" s="26"/>
      <c r="E28" s="26"/>
      <c r="F28" s="26"/>
      <c r="G28" s="27"/>
      <c r="H28" s="27"/>
      <c r="I28" s="76"/>
    </row>
    <row r="29" spans="1:9" x14ac:dyDescent="0.3">
      <c r="A29" s="75"/>
      <c r="B29" s="27"/>
      <c r="C29" s="26"/>
      <c r="D29" s="26"/>
      <c r="E29" s="26"/>
      <c r="F29" s="26"/>
      <c r="G29" s="27"/>
      <c r="H29" s="27"/>
      <c r="I29" s="76"/>
    </row>
    <row r="30" spans="1:9" x14ac:dyDescent="0.3">
      <c r="A30" s="77"/>
      <c r="B30" s="29"/>
      <c r="C30" s="28"/>
      <c r="D30" s="30"/>
      <c r="E30" s="28"/>
      <c r="F30" s="30"/>
      <c r="G30" s="31"/>
      <c r="H30" s="26"/>
      <c r="I30" s="76"/>
    </row>
    <row r="31" spans="1:9" x14ac:dyDescent="0.3">
      <c r="A31" s="77"/>
      <c r="B31" s="29"/>
      <c r="C31" s="28"/>
      <c r="D31" s="30"/>
      <c r="E31" s="28"/>
      <c r="F31" s="30"/>
      <c r="G31" s="31"/>
      <c r="H31" s="26"/>
      <c r="I31" s="76"/>
    </row>
    <row r="32" spans="1:9" x14ac:dyDescent="0.3">
      <c r="A32" s="77"/>
      <c r="B32" s="29"/>
      <c r="C32" s="28"/>
      <c r="D32" s="30"/>
      <c r="E32" s="28"/>
      <c r="F32" s="30"/>
      <c r="G32" s="31"/>
      <c r="H32" s="26"/>
      <c r="I32" s="76"/>
    </row>
    <row r="33" spans="1:9" x14ac:dyDescent="0.3">
      <c r="A33" s="77"/>
      <c r="B33" s="29"/>
      <c r="C33" s="28"/>
      <c r="D33" s="30"/>
      <c r="E33" s="28"/>
      <c r="F33" s="30"/>
      <c r="G33" s="31"/>
      <c r="H33" s="26"/>
      <c r="I33" s="76"/>
    </row>
    <row r="34" spans="1:9" x14ac:dyDescent="0.3">
      <c r="A34" s="77"/>
      <c r="B34" s="29"/>
      <c r="C34" s="28"/>
      <c r="D34" s="30"/>
      <c r="E34" s="28"/>
      <c r="F34" s="30"/>
      <c r="G34" s="31"/>
      <c r="H34" s="26"/>
      <c r="I34" s="76"/>
    </row>
    <row r="35" spans="1:9" x14ac:dyDescent="0.3">
      <c r="A35" s="77"/>
      <c r="B35" s="29"/>
      <c r="C35" s="32"/>
      <c r="D35" s="30"/>
      <c r="E35" s="32"/>
      <c r="F35" s="30"/>
      <c r="G35" s="31"/>
      <c r="H35" s="26"/>
      <c r="I35" s="76"/>
    </row>
    <row r="36" spans="1:9" ht="15" thickBot="1" x14ac:dyDescent="0.35">
      <c r="A36" s="78" t="s">
        <v>1</v>
      </c>
      <c r="B36" s="22" t="s">
        <v>11</v>
      </c>
      <c r="C36" s="23"/>
      <c r="D36" s="24"/>
      <c r="E36" s="23"/>
      <c r="F36" s="24"/>
      <c r="G36" s="25"/>
      <c r="H36" s="9">
        <f>SUM(H8:H35)</f>
        <v>332</v>
      </c>
      <c r="I36" s="79"/>
    </row>
    <row r="37" spans="1:9" ht="15" thickTop="1" x14ac:dyDescent="0.3">
      <c r="A37" s="80"/>
      <c r="B37" s="47"/>
      <c r="C37" s="47"/>
      <c r="D37" s="47"/>
      <c r="E37" s="47"/>
      <c r="F37" s="47"/>
      <c r="G37" s="47"/>
      <c r="H37" s="47"/>
      <c r="I37" s="74"/>
    </row>
    <row r="38" spans="1:9" ht="15" thickBot="1" x14ac:dyDescent="0.35">
      <c r="A38" s="80"/>
      <c r="B38" s="47"/>
      <c r="C38" s="81" t="s">
        <v>12</v>
      </c>
      <c r="D38" s="81" t="s">
        <v>13</v>
      </c>
      <c r="E38" s="81" t="s">
        <v>14</v>
      </c>
      <c r="F38" s="47"/>
      <c r="G38" s="47"/>
      <c r="H38" s="47"/>
      <c r="I38" s="74"/>
    </row>
    <row r="39" spans="1:9" ht="15" thickTop="1" x14ac:dyDescent="0.3">
      <c r="A39" s="64"/>
      <c r="B39" s="10"/>
      <c r="C39" s="10"/>
      <c r="D39" s="10"/>
      <c r="E39" s="10"/>
      <c r="F39" s="51"/>
      <c r="G39" s="8"/>
      <c r="H39" s="8"/>
      <c r="I39" s="65"/>
    </row>
    <row r="40" spans="1:9" x14ac:dyDescent="0.3">
      <c r="A40" s="82" t="s">
        <v>15</v>
      </c>
      <c r="B40" s="83" t="s">
        <v>16</v>
      </c>
      <c r="C40" s="84">
        <f>COUNTIF(G30:G34,1)-C44</f>
        <v>0</v>
      </c>
      <c r="D40" s="85">
        <v>0</v>
      </c>
      <c r="E40" s="86">
        <f>ROUND(+D40*C40,2)</f>
        <v>0</v>
      </c>
      <c r="F40" s="52" t="s">
        <v>17</v>
      </c>
      <c r="G40" s="48"/>
      <c r="H40" s="49"/>
      <c r="I40" s="87"/>
    </row>
    <row r="41" spans="1:9" x14ac:dyDescent="0.3">
      <c r="A41" s="82" t="s">
        <v>18</v>
      </c>
      <c r="B41" s="83" t="s">
        <v>19</v>
      </c>
      <c r="C41" s="84">
        <f>COUNTIF(G30:G34,0.75)-C45</f>
        <v>0</v>
      </c>
      <c r="D41" s="85">
        <f>+D40*0.75</f>
        <v>0</v>
      </c>
      <c r="E41" s="85">
        <f>+D41*C41</f>
        <v>0</v>
      </c>
      <c r="F41" s="53" t="s">
        <v>20</v>
      </c>
      <c r="G41" s="50" t="s">
        <v>49</v>
      </c>
      <c r="H41" s="50"/>
      <c r="I41" s="88"/>
    </row>
    <row r="42" spans="1:9" x14ac:dyDescent="0.3">
      <c r="A42" s="89"/>
      <c r="B42" s="83" t="s">
        <v>21</v>
      </c>
      <c r="C42" s="84">
        <f>COUNTIF(G30:G34,0.5)-C46</f>
        <v>0</v>
      </c>
      <c r="D42" s="85">
        <f>+D40*0.5</f>
        <v>0</v>
      </c>
      <c r="E42" s="86">
        <f>+D42*C42</f>
        <v>0</v>
      </c>
      <c r="F42" s="54"/>
      <c r="G42" s="47"/>
      <c r="H42" s="47"/>
      <c r="I42" s="74"/>
    </row>
    <row r="43" spans="1:9" ht="16.2" thickBot="1" x14ac:dyDescent="0.35">
      <c r="A43" s="90"/>
      <c r="B43" s="11" t="s">
        <v>22</v>
      </c>
      <c r="C43" s="12">
        <f>COUNTIF(G30:G34,0.25)-C47</f>
        <v>0</v>
      </c>
      <c r="D43" s="13">
        <f>+D40*0.25</f>
        <v>0</v>
      </c>
      <c r="E43" s="14">
        <f>+D43*C43</f>
        <v>0</v>
      </c>
      <c r="F43" s="112" t="s">
        <v>37</v>
      </c>
      <c r="G43" s="113"/>
      <c r="H43" s="47"/>
      <c r="I43" s="74"/>
    </row>
    <row r="44" spans="1:9" ht="15" thickTop="1" x14ac:dyDescent="0.3">
      <c r="A44" s="82" t="s">
        <v>23</v>
      </c>
      <c r="B44" s="83" t="s">
        <v>16</v>
      </c>
      <c r="C44" s="47">
        <v>0</v>
      </c>
      <c r="D44" s="85">
        <v>0</v>
      </c>
      <c r="E44" s="86">
        <f>ROUND(+D44*C44,2)</f>
        <v>0</v>
      </c>
      <c r="F44" s="55"/>
      <c r="G44" s="47"/>
      <c r="H44" s="47" t="s">
        <v>52</v>
      </c>
      <c r="I44" s="74"/>
    </row>
    <row r="45" spans="1:9" ht="15.6" x14ac:dyDescent="0.3">
      <c r="A45" s="82" t="s">
        <v>24</v>
      </c>
      <c r="B45" s="83" t="s">
        <v>19</v>
      </c>
      <c r="C45" s="47">
        <f>COUNTIF(G30:G39,0.75)</f>
        <v>0</v>
      </c>
      <c r="D45" s="85">
        <f>+D44*0.75</f>
        <v>0</v>
      </c>
      <c r="E45" s="85">
        <f>+D45*C45</f>
        <v>0</v>
      </c>
      <c r="F45" s="114" t="s">
        <v>50</v>
      </c>
      <c r="G45" s="115"/>
      <c r="H45" s="115"/>
      <c r="I45" s="116"/>
    </row>
    <row r="46" spans="1:9" ht="15.6" x14ac:dyDescent="0.3">
      <c r="A46" s="89"/>
      <c r="B46" s="83" t="s">
        <v>21</v>
      </c>
      <c r="C46" s="47">
        <f>COUNTIF(G30:G39,0.5)</f>
        <v>0</v>
      </c>
      <c r="D46" s="85">
        <f>+D44*0.5</f>
        <v>0</v>
      </c>
      <c r="E46" s="86">
        <f>+D46*C46</f>
        <v>0</v>
      </c>
      <c r="F46" s="112" t="s">
        <v>38</v>
      </c>
      <c r="G46" s="113"/>
      <c r="H46" s="113"/>
      <c r="I46" s="74"/>
    </row>
    <row r="47" spans="1:9" x14ac:dyDescent="0.3">
      <c r="A47" s="89"/>
      <c r="B47" s="83" t="s">
        <v>22</v>
      </c>
      <c r="C47" s="47">
        <v>0</v>
      </c>
      <c r="D47" s="85">
        <f>+D44*0.25</f>
        <v>0</v>
      </c>
      <c r="E47" s="86">
        <f>+D47*C47</f>
        <v>0</v>
      </c>
      <c r="F47" s="55"/>
      <c r="G47" s="47"/>
      <c r="H47" s="47" t="s">
        <v>51</v>
      </c>
      <c r="I47" s="74"/>
    </row>
    <row r="48" spans="1:9" ht="15" thickBot="1" x14ac:dyDescent="0.35">
      <c r="A48" s="91"/>
      <c r="B48" s="92"/>
      <c r="C48" s="92"/>
      <c r="D48" s="92"/>
      <c r="E48" s="93"/>
      <c r="F48" s="117" t="s">
        <v>50</v>
      </c>
      <c r="G48" s="118"/>
      <c r="H48" s="118"/>
      <c r="I48" s="119"/>
    </row>
    <row r="49" spans="1:9" ht="16.8" thickTop="1" thickBot="1" x14ac:dyDescent="0.35">
      <c r="A49" s="107" t="s">
        <v>25</v>
      </c>
      <c r="B49" s="108" t="s">
        <v>26</v>
      </c>
      <c r="C49" s="109">
        <f>SUM(H36)</f>
        <v>332</v>
      </c>
      <c r="D49" s="110">
        <v>0.36</v>
      </c>
      <c r="E49" s="111">
        <f>C49*D49</f>
        <v>119.52</v>
      </c>
      <c r="F49" s="1"/>
      <c r="G49" s="47"/>
      <c r="H49" s="47"/>
      <c r="I49" s="74"/>
    </row>
    <row r="50" spans="1:9" ht="15.6" thickTop="1" thickBot="1" x14ac:dyDescent="0.35">
      <c r="A50" s="91"/>
      <c r="B50" s="92"/>
      <c r="C50" s="92"/>
      <c r="D50" s="92"/>
      <c r="E50" s="93"/>
      <c r="F50" s="44" t="s">
        <v>35</v>
      </c>
      <c r="G50" s="120" t="s">
        <v>36</v>
      </c>
      <c r="H50" s="120"/>
      <c r="I50" s="74"/>
    </row>
    <row r="51" spans="1:9" ht="15.6" thickTop="1" thickBot="1" x14ac:dyDescent="0.35">
      <c r="A51" s="94" t="s">
        <v>27</v>
      </c>
      <c r="B51" s="16" t="s">
        <v>28</v>
      </c>
      <c r="C51" s="19">
        <f>+C43+C42+C41+C40+C44+C45+C46+C47</f>
        <v>0</v>
      </c>
      <c r="D51" s="17"/>
      <c r="E51" s="18">
        <f>+C51*D51</f>
        <v>0</v>
      </c>
      <c r="F51" s="21"/>
      <c r="G51" s="120"/>
      <c r="H51" s="120"/>
      <c r="I51" s="95"/>
    </row>
    <row r="52" spans="1:9" ht="15" thickTop="1" x14ac:dyDescent="0.3">
      <c r="A52" s="96"/>
      <c r="B52" s="47"/>
      <c r="C52" s="47"/>
      <c r="D52" s="85"/>
      <c r="E52" s="97"/>
      <c r="F52" s="98"/>
      <c r="G52" s="47"/>
      <c r="H52" s="47"/>
      <c r="I52" s="74"/>
    </row>
    <row r="53" spans="1:9" x14ac:dyDescent="0.3">
      <c r="A53" s="80"/>
      <c r="B53" s="99" t="s">
        <v>29</v>
      </c>
      <c r="C53" s="100"/>
      <c r="D53" s="100"/>
      <c r="E53" s="101">
        <f>+E40+E43+E49-E51+E44+E47</f>
        <v>119.52</v>
      </c>
      <c r="F53" s="102"/>
      <c r="G53" s="85"/>
      <c r="H53" s="47"/>
      <c r="I53" s="103"/>
    </row>
    <row r="54" spans="1:9" ht="15" thickBot="1" x14ac:dyDescent="0.35">
      <c r="A54" s="104"/>
      <c r="B54" s="105"/>
      <c r="C54" s="105"/>
      <c r="D54" s="105"/>
      <c r="E54" s="105"/>
      <c r="F54" s="105"/>
      <c r="G54" s="105"/>
      <c r="H54" s="105"/>
      <c r="I54" s="106"/>
    </row>
    <row r="55" spans="1:9" ht="15" thickTop="1" x14ac:dyDescent="0.3"/>
  </sheetData>
  <mergeCells count="5">
    <mergeCell ref="G50:H51"/>
    <mergeCell ref="F43:G43"/>
    <mergeCell ref="F46:H46"/>
    <mergeCell ref="F45:I45"/>
    <mergeCell ref="F48:I48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Mapa de KMS</vt:lpstr>
      <vt:lpstr>Exemplo do Preenchimento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Jorge</dc:creator>
  <cp:lastModifiedBy>Catarina Lopes</cp:lastModifiedBy>
  <cp:lastPrinted>2023-03-14T17:21:51Z</cp:lastPrinted>
  <dcterms:created xsi:type="dcterms:W3CDTF">2023-03-14T16:50:26Z</dcterms:created>
  <dcterms:modified xsi:type="dcterms:W3CDTF">2024-01-02T17:39:52Z</dcterms:modified>
</cp:coreProperties>
</file>