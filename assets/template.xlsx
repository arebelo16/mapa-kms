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apa de KMS" sheetId="1" state="visible" r:id="rId1"/>
    <sheet xmlns:r="http://schemas.openxmlformats.org/officeDocument/2006/relationships" name="Exemplo do Preenchimento" sheetId="2" state="visible" r:id="rId2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[$-F400]h:mm:ss\ AM/PM"/>
  </numFmts>
  <fonts count="18"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b val="1"/>
      <i val="1"/>
      <sz val="10"/>
    </font>
    <font>
      <name val="Arial"/>
      <family val="2"/>
      <sz val="9"/>
    </font>
    <font>
      <name val="Arial"/>
      <family val="2"/>
      <b val="1"/>
      <i val="1"/>
      <sz val="8"/>
    </font>
    <font>
      <name val="Arial"/>
      <family val="2"/>
      <sz val="10"/>
    </font>
    <font>
      <name val="Arial"/>
      <family val="2"/>
      <i val="1"/>
      <sz val="9"/>
    </font>
    <font>
      <name val="Arial"/>
      <family val="2"/>
      <i val="1"/>
      <sz val="10"/>
    </font>
    <font>
      <name val="Arial"/>
      <family val="2"/>
      <sz val="10"/>
      <u val="single"/>
    </font>
    <font>
      <name val="Arial"/>
      <family val="2"/>
      <sz val="11"/>
    </font>
    <font>
      <name val="Calibri"/>
      <family val="2"/>
      <color theme="1"/>
      <sz val="20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i val="1"/>
      <sz val="12"/>
    </font>
    <font>
      <name val="Calibri"/>
      <family val="2"/>
      <b val="1"/>
      <color theme="1"/>
      <sz val="12"/>
      <scheme val="minor"/>
    </font>
    <font>
      <name val="Calibri"/>
      <family val="2"/>
      <sz val="12"/>
      <scheme val="minor"/>
    </font>
    <font>
      <name val="Arial"/>
      <i val="1"/>
      <sz val="10"/>
    </font>
    <font>
      <name val="Arial"/>
      <i val="1"/>
      <sz val="8"/>
    </font>
  </fonts>
  <fills count="3">
    <fill>
      <patternFill/>
    </fill>
    <fill>
      <patternFill patternType="gray125"/>
    </fill>
    <fill>
      <patternFill patternType="solid">
        <fgColor indexed="9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 style="double">
        <color indexed="64"/>
      </top>
      <bottom/>
      <diagonal/>
    </border>
    <border>
      <left/>
      <right style="thick">
        <color indexed="64"/>
      </right>
      <top style="double">
        <color indexed="64"/>
      </top>
      <bottom/>
      <diagonal/>
    </border>
    <border>
      <left style="thick">
        <color indexed="64"/>
      </left>
      <right/>
      <top/>
      <bottom style="double">
        <color indexed="64"/>
      </bottom>
      <diagonal/>
    </border>
    <border>
      <left/>
      <right style="thick">
        <color indexed="64"/>
      </right>
      <top/>
      <bottom style="double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double">
        <color indexed="64"/>
      </top>
      <bottom style="double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double">
        <color indexed="64"/>
      </left>
      <right style="thick">
        <color indexed="64"/>
      </right>
      <top/>
      <bottom style="thin">
        <color indexed="64"/>
      </bottom>
      <diagonal/>
    </border>
    <border>
      <left style="double">
        <color indexed="64"/>
      </left>
      <right style="thick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0" fillId="2" borderId="2" applyAlignment="1" pivotButton="0" quotePrefix="0" xfId="0">
      <alignment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Continuous" vertical="center"/>
    </xf>
    <xf numFmtId="0" fontId="2" fillId="2" borderId="8" applyAlignment="1" pivotButton="0" quotePrefix="0" xfId="0">
      <alignment vertical="center"/>
    </xf>
    <xf numFmtId="0" fontId="1" fillId="2" borderId="8" applyAlignment="1" pivotButton="0" quotePrefix="0" xfId="0">
      <alignment vertical="center"/>
    </xf>
    <xf numFmtId="0" fontId="2" fillId="2" borderId="9" applyAlignment="1" pivotButton="0" quotePrefix="0" xfId="0">
      <alignment vertical="center"/>
    </xf>
    <xf numFmtId="0" fontId="1" fillId="2" borderId="9" applyAlignment="1" pivotButton="0" quotePrefix="0" xfId="0">
      <alignment vertical="center"/>
    </xf>
    <xf numFmtId="0" fontId="0" fillId="2" borderId="8" applyAlignment="1" pivotButton="0" quotePrefix="0" xfId="0">
      <alignment vertical="center"/>
    </xf>
    <xf numFmtId="0" fontId="0" fillId="2" borderId="9" applyAlignment="1" pivotButton="0" quotePrefix="0" xfId="0">
      <alignment horizontal="center" vertical="center"/>
    </xf>
    <xf numFmtId="0" fontId="0" fillId="2" borderId="8" pivotButton="0" quotePrefix="0" xfId="0"/>
    <xf numFmtId="0" fontId="7" fillId="2" borderId="9" applyAlignment="1" pivotButton="0" quotePrefix="0" xfId="0">
      <alignment vertical="center"/>
    </xf>
    <xf numFmtId="1" fontId="0" fillId="2" borderId="9" applyAlignment="1" pivotButton="0" quotePrefix="0" xfId="0">
      <alignment vertical="center"/>
    </xf>
    <xf numFmtId="4" fontId="0" fillId="2" borderId="9" applyAlignment="1" pivotButton="0" quotePrefix="0" xfId="0">
      <alignment vertical="center"/>
    </xf>
    <xf numFmtId="4" fontId="7" fillId="2" borderId="9" applyAlignment="1" pivotButton="0" quotePrefix="0" xfId="0">
      <alignment vertical="center"/>
    </xf>
    <xf numFmtId="0" fontId="1" fillId="2" borderId="11" applyAlignment="1" pivotButton="0" quotePrefix="0" xfId="0">
      <alignment vertical="center"/>
    </xf>
    <xf numFmtId="0" fontId="7" fillId="2" borderId="7" applyAlignment="1" pivotButton="0" quotePrefix="0" xfId="0">
      <alignment vertical="center"/>
    </xf>
    <xf numFmtId="4" fontId="0" fillId="2" borderId="7" applyAlignment="1" pivotButton="0" quotePrefix="0" xfId="0">
      <alignment vertical="center"/>
    </xf>
    <xf numFmtId="4" fontId="7" fillId="2" borderId="7" applyAlignment="1" pivotButton="0" quotePrefix="0" xfId="0">
      <alignment vertical="center"/>
    </xf>
    <xf numFmtId="1" fontId="0" fillId="2" borderId="7" applyAlignment="1" pivotButton="0" quotePrefix="0" xfId="0">
      <alignment vertical="center"/>
    </xf>
    <xf numFmtId="0" fontId="1" fillId="2" borderId="10" applyAlignment="1" pivotButton="0" quotePrefix="0" xfId="0">
      <alignment vertical="center"/>
    </xf>
    <xf numFmtId="0" fontId="0" fillId="2" borderId="2" applyAlignment="1" pivotButton="0" quotePrefix="0" xfId="0">
      <alignment horizontal="left"/>
    </xf>
    <xf numFmtId="0" fontId="2" fillId="2" borderId="9" applyAlignment="1" pivotButton="0" quotePrefix="0" xfId="0">
      <alignment horizontal="center" vertical="center"/>
    </xf>
    <xf numFmtId="16" fontId="0" fillId="2" borderId="9" applyAlignment="1" pivotButton="0" quotePrefix="0" xfId="0">
      <alignment horizontal="center" vertical="center"/>
    </xf>
    <xf numFmtId="2" fontId="0" fillId="2" borderId="9" applyAlignment="1" pivotButton="0" quotePrefix="0" xfId="0">
      <alignment horizontal="center" vertical="center"/>
    </xf>
    <xf numFmtId="9" fontId="0" fillId="2" borderId="9" applyAlignment="1" pivotButton="0" quotePrefix="0" xfId="0">
      <alignment vertical="center"/>
    </xf>
    <xf numFmtId="0" fontId="0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vertical="center"/>
    </xf>
    <xf numFmtId="16" fontId="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9" fontId="0" fillId="2" borderId="1" applyAlignment="1" pivotButton="0" quotePrefix="0" xfId="0">
      <alignment vertical="center"/>
    </xf>
    <xf numFmtId="16" fontId="0" fillId="2" borderId="1" applyAlignment="1" pivotButton="0" quotePrefix="0" xfId="0">
      <alignment horizontal="center" vertical="center"/>
    </xf>
    <xf numFmtId="0" fontId="0" fillId="2" borderId="12" applyAlignment="1" pivotButton="0" quotePrefix="0" xfId="0">
      <alignment vertical="center"/>
    </xf>
    <xf numFmtId="0" fontId="3" fillId="2" borderId="13" applyAlignment="1" pivotButton="0" quotePrefix="0" xfId="0">
      <alignment horizontal="center" vertical="center"/>
    </xf>
    <xf numFmtId="0" fontId="0" fillId="2" borderId="14" applyAlignment="1" pivotButton="0" quotePrefix="0" xfId="0">
      <alignment vertical="center"/>
    </xf>
    <xf numFmtId="0" fontId="0" fillId="2" borderId="10" applyAlignment="1" pivotButton="0" quotePrefix="0" xfId="0">
      <alignment vertical="center"/>
    </xf>
    <xf numFmtId="0" fontId="0" fillId="2" borderId="15" applyAlignment="1" pivotButton="0" quotePrefix="0" xfId="0">
      <alignment vertical="center"/>
    </xf>
    <xf numFmtId="0" fontId="3" fillId="2" borderId="2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Continuous" vertical="center"/>
    </xf>
    <xf numFmtId="0" fontId="3" fillId="2" borderId="13" applyAlignment="1" pivotButton="0" quotePrefix="0" xfId="0">
      <alignment vertical="center"/>
    </xf>
    <xf numFmtId="0" fontId="1" fillId="2" borderId="2" applyAlignment="1" pivotButton="0" quotePrefix="0" xfId="0">
      <alignment horizontal="center"/>
    </xf>
    <xf numFmtId="0" fontId="1" fillId="2" borderId="15" applyAlignment="1" pivotButton="0" quotePrefix="0" xfId="0">
      <alignment vertical="center"/>
    </xf>
    <xf numFmtId="0" fontId="1" fillId="2" borderId="16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7" fillId="2" borderId="5" applyAlignment="1" pivotButton="0" quotePrefix="0" xfId="0">
      <alignment vertical="center"/>
    </xf>
    <xf numFmtId="0" fontId="0" fillId="2" borderId="17" pivotButton="0" quotePrefix="0" xfId="0"/>
    <xf numFmtId="0" fontId="1" fillId="2" borderId="18" applyAlignment="1" pivotButton="0" quotePrefix="0" xfId="0">
      <alignment horizontal="center"/>
    </xf>
    <xf numFmtId="0" fontId="0" fillId="2" borderId="19" applyAlignment="1" pivotButton="0" quotePrefix="0" xfId="0">
      <alignment horizontal="left" vertical="top"/>
    </xf>
    <xf numFmtId="0" fontId="0" fillId="2" borderId="18" applyAlignment="1" pivotButton="0" quotePrefix="0" xfId="0">
      <alignment horizontal="left" vertical="top"/>
    </xf>
    <xf numFmtId="0" fontId="1" fillId="2" borderId="18" applyAlignment="1" pivotButton="0" quotePrefix="0" xfId="0">
      <alignment vertical="center"/>
    </xf>
    <xf numFmtId="0" fontId="12" fillId="2" borderId="21" applyAlignment="1" pivotButton="0" quotePrefix="0" xfId="0">
      <alignment vertical="center"/>
    </xf>
    <xf numFmtId="0" fontId="12" fillId="2" borderId="22" applyAlignment="1" pivotButton="0" quotePrefix="0" xfId="0">
      <alignment vertical="center"/>
    </xf>
    <xf numFmtId="0" fontId="0" fillId="2" borderId="22" applyAlignment="1" pivotButton="0" quotePrefix="0" xfId="0">
      <alignment vertical="center"/>
    </xf>
    <xf numFmtId="0" fontId="0" fillId="2" borderId="23" applyAlignment="1" pivotButton="0" quotePrefix="0" xfId="0">
      <alignment vertical="center"/>
    </xf>
    <xf numFmtId="0" fontId="2" fillId="2" borderId="24" applyAlignment="1" pivotButton="0" quotePrefix="0" xfId="0">
      <alignment vertical="center"/>
    </xf>
    <xf numFmtId="0" fontId="2" fillId="2" borderId="25" applyAlignment="1" pivotButton="0" quotePrefix="0" xfId="0">
      <alignment vertical="center"/>
    </xf>
    <xf numFmtId="0" fontId="2" fillId="2" borderId="26" applyAlignment="1" pivotButton="0" quotePrefix="0" xfId="0">
      <alignment vertical="center"/>
    </xf>
    <xf numFmtId="17" fontId="1" fillId="2" borderId="27" applyAlignment="1" pivotButton="0" quotePrefix="0" xfId="0">
      <alignment vertical="center"/>
    </xf>
    <xf numFmtId="0" fontId="0" fillId="2" borderId="24" applyAlignment="1" pivotButton="0" quotePrefix="0" xfId="0">
      <alignment vertical="center"/>
    </xf>
    <xf numFmtId="0" fontId="0" fillId="2" borderId="25" applyAlignment="1" pivotButton="0" quotePrefix="0" xfId="0">
      <alignment vertical="center"/>
    </xf>
    <xf numFmtId="0" fontId="3" fillId="2" borderId="28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Continuous" vertical="center"/>
    </xf>
    <xf numFmtId="0" fontId="3" fillId="2" borderId="29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3" fillId="2" borderId="29" applyAlignment="1" pivotButton="0" quotePrefix="0" xfId="0">
      <alignment vertical="center"/>
    </xf>
    <xf numFmtId="0" fontId="0" fillId="2" borderId="28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2" borderId="29" applyAlignment="1" pivotButton="0" quotePrefix="0" xfId="0">
      <alignment vertical="center"/>
    </xf>
    <xf numFmtId="0" fontId="0" fillId="2" borderId="30" applyAlignment="1" pivotButton="0" quotePrefix="0" xfId="0">
      <alignment horizontal="center" vertical="center"/>
    </xf>
    <xf numFmtId="0" fontId="0" fillId="2" borderId="31" applyAlignment="1" pivotButton="0" quotePrefix="0" xfId="0">
      <alignment vertical="center"/>
    </xf>
    <xf numFmtId="16" fontId="2" fillId="2" borderId="30" applyAlignment="1" pivotButton="0" quotePrefix="0" xfId="0">
      <alignment horizontal="center" vertical="center"/>
    </xf>
    <xf numFmtId="0" fontId="5" fillId="2" borderId="26" applyAlignment="1" pivotButton="0" quotePrefix="0" xfId="0">
      <alignment horizontal="center" vertical="center"/>
    </xf>
    <xf numFmtId="0" fontId="0" fillId="2" borderId="27" applyAlignment="1" pivotButton="0" quotePrefix="0" xfId="0">
      <alignment vertical="center"/>
    </xf>
    <xf numFmtId="0" fontId="0" fillId="2" borderId="28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7" fillId="2" borderId="28" applyAlignment="1" pivotButton="0" quotePrefix="0" xfId="0">
      <alignment horizontal="right" vertical="center"/>
    </xf>
    <xf numFmtId="0" fontId="7" fillId="2" borderId="0" applyAlignment="1" pivotButton="0" quotePrefix="0" xfId="0">
      <alignment vertical="center"/>
    </xf>
    <xf numFmtId="1" fontId="0" fillId="2" borderId="0" applyAlignment="1" pivotButton="0" quotePrefix="0" xfId="0">
      <alignment vertical="center"/>
    </xf>
    <xf numFmtId="4" fontId="0" fillId="2" borderId="0" applyAlignment="1" pivotButton="0" quotePrefix="0" xfId="0">
      <alignment vertical="center"/>
    </xf>
    <xf numFmtId="4" fontId="7" fillId="2" borderId="0" applyAlignment="1" pivotButton="0" quotePrefix="0" xfId="0">
      <alignment vertical="center"/>
    </xf>
    <xf numFmtId="0" fontId="7" fillId="2" borderId="29" applyAlignment="1" pivotButton="0" quotePrefix="0" xfId="0">
      <alignment horizontal="left" vertical="center"/>
    </xf>
    <xf numFmtId="0" fontId="7" fillId="2" borderId="32" applyAlignment="1" pivotButton="0" quotePrefix="0" xfId="0">
      <alignment vertical="center"/>
    </xf>
    <xf numFmtId="0" fontId="7" fillId="2" borderId="28" applyAlignment="1" pivotButton="0" quotePrefix="0" xfId="0">
      <alignment vertical="center"/>
    </xf>
    <xf numFmtId="0" fontId="7" fillId="2" borderId="26" applyAlignment="1" pivotButton="0" quotePrefix="0" xfId="0">
      <alignment vertical="center"/>
    </xf>
    <xf numFmtId="0" fontId="0" fillId="2" borderId="28" pivotButton="0" quotePrefix="0" xfId="0"/>
    <xf numFmtId="0" fontId="0" fillId="2" borderId="0" pivotButton="0" quotePrefix="0" xfId="0"/>
    <xf numFmtId="3" fontId="0" fillId="2" borderId="0" pivotButton="0" quotePrefix="0" xfId="0"/>
    <xf numFmtId="0" fontId="7" fillId="2" borderId="33" applyAlignment="1" pivotButton="0" quotePrefix="0" xfId="0">
      <alignment horizontal="right" vertical="center"/>
    </xf>
    <xf numFmtId="0" fontId="8" fillId="2" borderId="29" applyAlignment="1" pivotButton="0" quotePrefix="0" xfId="0">
      <alignment vertical="center"/>
    </xf>
    <xf numFmtId="0" fontId="0" fillId="2" borderId="28" applyAlignment="1" pivotButton="0" quotePrefix="0" xfId="0">
      <alignment horizontal="right" vertical="center"/>
    </xf>
    <xf numFmtId="3" fontId="0" fillId="2" borderId="0" applyAlignment="1" pivotButton="0" quotePrefix="0" xfId="0">
      <alignment vertical="center"/>
    </xf>
    <xf numFmtId="0" fontId="0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vertical="center"/>
    </xf>
    <xf numFmtId="4" fontId="9" fillId="2" borderId="0" applyAlignment="1" pivotButton="0" quotePrefix="0" xfId="0">
      <alignment vertical="center"/>
    </xf>
    <xf numFmtId="0" fontId="0" fillId="2" borderId="0" applyAlignment="1" pivotButton="0" quotePrefix="0" xfId="0">
      <alignment horizontal="left" vertical="top"/>
    </xf>
    <xf numFmtId="0" fontId="7" fillId="2" borderId="29" applyAlignment="1" pivotButton="0" quotePrefix="0" xfId="0">
      <alignment horizontal="right" vertical="center"/>
    </xf>
    <xf numFmtId="0" fontId="0" fillId="2" borderId="34" applyAlignment="1" pivotButton="0" quotePrefix="0" xfId="0">
      <alignment vertical="center"/>
    </xf>
    <xf numFmtId="0" fontId="0" fillId="2" borderId="35" applyAlignment="1" pivotButton="0" quotePrefix="0" xfId="0">
      <alignment vertical="center"/>
    </xf>
    <xf numFmtId="0" fontId="0" fillId="2" borderId="36" applyAlignment="1" pivotButton="0" quotePrefix="0" xfId="0">
      <alignment vertical="center"/>
    </xf>
    <xf numFmtId="0" fontId="13" fillId="2" borderId="33" applyAlignment="1" pivotButton="0" quotePrefix="0" xfId="0">
      <alignment horizontal="right" vertical="center"/>
    </xf>
    <xf numFmtId="0" fontId="13" fillId="2" borderId="7" applyAlignment="1" pivotButton="0" quotePrefix="0" xfId="0">
      <alignment vertical="center"/>
    </xf>
    <xf numFmtId="0" fontId="14" fillId="2" borderId="7" applyAlignment="1" pivotButton="0" quotePrefix="0" xfId="0">
      <alignment vertical="center"/>
    </xf>
    <xf numFmtId="4" fontId="14" fillId="2" borderId="7" applyAlignment="1" pivotButton="0" quotePrefix="0" xfId="0">
      <alignment vertical="center"/>
    </xf>
    <xf numFmtId="4" fontId="13" fillId="2" borderId="7" applyAlignment="1" pivotButton="0" quotePrefix="0" xfId="0">
      <alignment vertical="center"/>
    </xf>
    <xf numFmtId="0" fontId="11" fillId="0" borderId="18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5" fillId="0" borderId="19" applyAlignment="1" pivotButton="0" quotePrefix="0" xfId="0">
      <alignment horizontal="center"/>
    </xf>
    <xf numFmtId="0" fontId="15" fillId="0" borderId="5" applyAlignment="1" pivotButton="0" quotePrefix="0" xfId="0">
      <alignment horizontal="center"/>
    </xf>
    <xf numFmtId="0" fontId="15" fillId="0" borderId="32" applyAlignment="1" pivotButton="0" quotePrefix="0" xfId="0">
      <alignment horizontal="center"/>
    </xf>
    <xf numFmtId="0" fontId="0" fillId="2" borderId="20" applyAlignment="1" pivotButton="0" quotePrefix="0" xfId="0">
      <alignment horizontal="center"/>
    </xf>
    <xf numFmtId="0" fontId="0" fillId="2" borderId="9" applyAlignment="1" pivotButton="0" quotePrefix="0" xfId="0">
      <alignment horizontal="center"/>
    </xf>
    <xf numFmtId="0" fontId="0" fillId="2" borderId="27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16" fontId="16" fillId="2" borderId="30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16" fontId="16" fillId="2" borderId="1" applyAlignment="1" pivotButton="0" quotePrefix="0" xfId="0">
      <alignment horizontal="center" vertical="center"/>
    </xf>
    <xf numFmtId="0" fontId="15" fillId="0" borderId="37" applyAlignment="1" pivotButton="0" quotePrefix="0" xfId="0">
      <alignment horizontal="center"/>
    </xf>
    <xf numFmtId="0" fontId="0" fillId="0" borderId="5" pivotButton="0" quotePrefix="0" xfId="0"/>
    <xf numFmtId="0" fontId="0" fillId="0" borderId="32" pivotButton="0" quotePrefix="0" xfId="0"/>
    <xf numFmtId="0" fontId="0" fillId="2" borderId="38" applyAlignment="1" pivotButton="0" quotePrefix="0" xfId="0">
      <alignment horizontal="center"/>
    </xf>
    <xf numFmtId="0" fontId="0" fillId="0" borderId="9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4"/>
  <sheetViews>
    <sheetView tabSelected="1" topLeftCell="B29" workbookViewId="0">
      <selection activeCell="D30" sqref="D30"/>
    </sheetView>
  </sheetViews>
  <sheetFormatPr baseColWidth="8" defaultRowHeight="14.4"/>
  <cols>
    <col width="12.88671875" customWidth="1" min="1" max="1"/>
    <col width="65.33203125" customWidth="1" min="2" max="2"/>
    <col width="12.33203125" customWidth="1" min="3" max="3"/>
    <col width="16.44140625" customWidth="1" min="4" max="4"/>
    <col width="20" customWidth="1" min="6" max="6"/>
    <col width="12.6640625" customWidth="1" min="7" max="7"/>
    <col width="19.6640625" customWidth="1" min="8" max="8"/>
    <col width="48.44140625" customWidth="1" min="9" max="9"/>
  </cols>
  <sheetData>
    <row r="1" ht="30" customHeight="1" thickBot="1" thickTop="1">
      <c r="A1" s="56" t="inlineStr">
        <is>
          <t>GHH - Services Portugal, Lda.</t>
        </is>
      </c>
      <c r="B1" s="57" t="n"/>
      <c r="C1" s="58" t="n"/>
      <c r="D1" s="58" t="n"/>
      <c r="E1" s="58" t="n"/>
      <c r="F1" s="58" t="n"/>
      <c r="G1" s="58" t="n"/>
      <c r="H1" s="58" t="n"/>
      <c r="I1" s="59" t="n"/>
    </row>
    <row r="2" ht="15" customHeight="1" thickTop="1">
      <c r="A2" s="60" t="inlineStr">
        <is>
          <t xml:space="preserve">NOME DO FUNCIONÁRIO : </t>
        </is>
      </c>
      <c r="B2" s="5" t="n"/>
      <c r="C2" s="20" t="n"/>
      <c r="D2" s="4" t="inlineStr">
        <is>
          <t>CATEGORIA :</t>
        </is>
      </c>
      <c r="E2" s="5" t="n"/>
      <c r="F2" s="5" t="n"/>
      <c r="G2" s="5" t="n"/>
      <c r="H2" s="45" t="inlineStr">
        <is>
          <t xml:space="preserve"> </t>
        </is>
      </c>
      <c r="I2" s="61" t="inlineStr">
        <is>
          <t xml:space="preserve">Mês: </t>
        </is>
      </c>
    </row>
    <row r="3" ht="15" customHeight="1" thickBot="1">
      <c r="A3" s="62" t="inlineStr">
        <is>
          <t xml:space="preserve">DEPARTAMENTO  :  </t>
        </is>
      </c>
      <c r="B3" s="7" t="n"/>
      <c r="C3" s="15" t="n"/>
      <c r="D3" s="6" t="inlineStr">
        <is>
          <t xml:space="preserve">VEÍCULO/Matrícula : </t>
        </is>
      </c>
      <c r="E3" s="7" t="n"/>
      <c r="F3" s="7" t="n"/>
      <c r="G3" s="7" t="n"/>
      <c r="H3" s="46" t="n"/>
      <c r="I3" s="63" t="inlineStr">
        <is>
          <t xml:space="preserve"> </t>
        </is>
      </c>
    </row>
    <row r="4" ht="15" customHeight="1" thickTop="1">
      <c r="A4" s="64" t="n"/>
      <c r="B4" s="33" t="n"/>
      <c r="C4" s="8" t="n"/>
      <c r="D4" s="8" t="n"/>
      <c r="E4" s="36" t="n"/>
      <c r="F4" s="37" t="n"/>
      <c r="G4" s="8" t="n"/>
      <c r="H4" s="33" t="n"/>
      <c r="I4" s="65" t="n"/>
    </row>
    <row r="5">
      <c r="A5" s="66" t="inlineStr">
        <is>
          <t>DIAS</t>
        </is>
      </c>
      <c r="B5" s="34" t="inlineStr">
        <is>
          <t>Descritivo Com o Cliente Descriminado</t>
        </is>
      </c>
      <c r="C5" s="67" t="inlineStr">
        <is>
          <t>Início ou Continuação</t>
        </is>
      </c>
      <c r="D5" s="67" t="n"/>
      <c r="E5" s="38" t="inlineStr">
        <is>
          <t>Regresso</t>
        </is>
      </c>
      <c r="F5" s="3" t="n"/>
      <c r="G5" s="67" t="inlineStr">
        <is>
          <t>%</t>
        </is>
      </c>
      <c r="H5" s="42" t="inlineStr">
        <is>
          <t>Kms</t>
        </is>
      </c>
      <c r="I5" s="68" t="inlineStr">
        <is>
          <t>LOCALIDADE/TRAJECTO</t>
        </is>
      </c>
    </row>
    <row r="6">
      <c r="A6" s="66" t="inlineStr">
        <is>
          <t>MÊS</t>
        </is>
      </c>
      <c r="B6" s="34" t="n"/>
      <c r="C6" s="69" t="inlineStr">
        <is>
          <t>Dia</t>
        </is>
      </c>
      <c r="D6" s="69" t="inlineStr">
        <is>
          <t>Hora</t>
        </is>
      </c>
      <c r="E6" s="2" t="inlineStr">
        <is>
          <t>Dia</t>
        </is>
      </c>
      <c r="F6" s="39" t="inlineStr">
        <is>
          <t>Hora</t>
        </is>
      </c>
      <c r="G6" s="70" t="n"/>
      <c r="H6" s="43" t="n"/>
      <c r="I6" s="71" t="n"/>
    </row>
    <row r="7">
      <c r="A7" s="72" t="n"/>
      <c r="B7" s="35" t="n"/>
      <c r="C7" s="73" t="n"/>
      <c r="D7" s="73" t="n"/>
      <c r="E7" s="40" t="n"/>
      <c r="F7" s="41" t="n"/>
      <c r="G7" s="47" t="n"/>
      <c r="H7" s="35" t="n"/>
      <c r="I7" s="74" t="n"/>
    </row>
    <row r="8">
      <c r="A8" s="75" t="n"/>
      <c r="B8" s="27" t="n"/>
      <c r="C8" s="26" t="n"/>
      <c r="D8" s="26" t="n"/>
      <c r="E8" s="26" t="n"/>
      <c r="F8" s="26" t="n"/>
      <c r="G8" s="27" t="n"/>
      <c r="H8" s="27" t="n"/>
      <c r="I8" s="76" t="n"/>
    </row>
    <row r="9">
      <c r="A9" s="75" t="n"/>
      <c r="B9" s="27" t="n"/>
      <c r="C9" s="26" t="n"/>
      <c r="D9" s="26" t="n"/>
      <c r="E9" s="26" t="n"/>
      <c r="F9" s="26" t="n"/>
      <c r="G9" s="27" t="n"/>
      <c r="H9" s="27" t="n"/>
      <c r="I9" s="76" t="n"/>
    </row>
    <row r="10">
      <c r="A10" s="75" t="n"/>
      <c r="B10" s="27" t="n"/>
      <c r="C10" s="26" t="n"/>
      <c r="D10" s="26" t="n"/>
      <c r="E10" s="26" t="n"/>
      <c r="F10" s="26" t="n"/>
      <c r="G10" s="27" t="n"/>
      <c r="H10" s="27" t="n"/>
      <c r="I10" s="76" t="n"/>
    </row>
    <row r="11">
      <c r="A11" s="75" t="n"/>
      <c r="B11" s="27" t="n"/>
      <c r="C11" s="26" t="n"/>
      <c r="D11" s="26" t="n"/>
      <c r="E11" s="26" t="n"/>
      <c r="F11" s="26" t="n"/>
      <c r="G11" s="27" t="n"/>
      <c r="H11" s="27" t="n"/>
      <c r="I11" s="76" t="n"/>
    </row>
    <row r="12">
      <c r="A12" s="75" t="n"/>
      <c r="B12" s="27" t="n"/>
      <c r="C12" s="26" t="n"/>
      <c r="D12" s="26" t="n"/>
      <c r="E12" s="26" t="n"/>
      <c r="F12" s="26" t="n"/>
      <c r="G12" s="27" t="n"/>
      <c r="H12" s="27" t="n"/>
      <c r="I12" s="76" t="n"/>
    </row>
    <row r="13">
      <c r="A13" s="75" t="n"/>
      <c r="B13" s="27" t="n"/>
      <c r="C13" s="26" t="n"/>
      <c r="D13" s="26" t="n"/>
      <c r="E13" s="26" t="n"/>
      <c r="F13" s="26" t="n"/>
      <c r="G13" s="27" t="n"/>
      <c r="H13" s="27" t="n"/>
      <c r="I13" s="76" t="n"/>
    </row>
    <row r="14">
      <c r="A14" s="75" t="n"/>
      <c r="B14" s="27" t="n"/>
      <c r="C14" s="26" t="n"/>
      <c r="D14" s="26" t="n"/>
      <c r="E14" s="26" t="n"/>
      <c r="F14" s="26" t="n"/>
      <c r="G14" s="27" t="n"/>
      <c r="H14" s="27" t="n"/>
      <c r="I14" s="76" t="n"/>
    </row>
    <row r="15">
      <c r="A15" s="75" t="n"/>
      <c r="B15" s="27" t="n"/>
      <c r="C15" s="26" t="n"/>
      <c r="D15" s="26" t="n"/>
      <c r="E15" s="26" t="n"/>
      <c r="F15" s="26" t="n"/>
      <c r="G15" s="27" t="n"/>
      <c r="H15" s="27" t="n"/>
      <c r="I15" s="76" t="n"/>
    </row>
    <row r="16">
      <c r="A16" s="75" t="n"/>
      <c r="B16" s="27" t="n"/>
      <c r="C16" s="26" t="n"/>
      <c r="D16" s="26" t="n"/>
      <c r="E16" s="26" t="n"/>
      <c r="F16" s="26" t="n"/>
      <c r="G16" s="27" t="n"/>
      <c r="H16" s="27" t="n"/>
      <c r="I16" s="76" t="n"/>
    </row>
    <row r="17">
      <c r="A17" s="75" t="n"/>
      <c r="B17" s="27" t="n"/>
      <c r="C17" s="26" t="n"/>
      <c r="D17" s="26" t="n"/>
      <c r="E17" s="26" t="n"/>
      <c r="F17" s="26" t="n"/>
      <c r="G17" s="27" t="n"/>
      <c r="H17" s="27" t="n"/>
      <c r="I17" s="76" t="n"/>
    </row>
    <row r="18">
      <c r="A18" s="75" t="n"/>
      <c r="B18" s="27" t="n"/>
      <c r="C18" s="26" t="n"/>
      <c r="D18" s="26" t="n"/>
      <c r="E18" s="26" t="n"/>
      <c r="F18" s="26" t="n"/>
      <c r="G18" s="27" t="n"/>
      <c r="H18" s="27" t="n"/>
      <c r="I18" s="76" t="n"/>
    </row>
    <row r="19">
      <c r="A19" s="75" t="n"/>
      <c r="B19" s="27" t="n"/>
      <c r="C19" s="26" t="n"/>
      <c r="D19" s="26" t="n"/>
      <c r="E19" s="26" t="n"/>
      <c r="F19" s="26" t="n"/>
      <c r="G19" s="27" t="n"/>
      <c r="H19" s="27" t="n"/>
      <c r="I19" s="76" t="n"/>
    </row>
    <row r="20">
      <c r="A20" s="75" t="n"/>
      <c r="B20" s="27" t="n"/>
      <c r="C20" s="26" t="n"/>
      <c r="D20" s="26" t="n"/>
      <c r="E20" s="26" t="n"/>
      <c r="F20" s="26" t="n"/>
      <c r="G20" s="27" t="n"/>
      <c r="H20" s="27" t="n"/>
      <c r="I20" s="76" t="n"/>
    </row>
    <row r="21">
      <c r="A21" s="75" t="n"/>
      <c r="B21" s="27" t="n"/>
      <c r="C21" s="26" t="n"/>
      <c r="D21" s="26" t="n"/>
      <c r="E21" s="26" t="n"/>
      <c r="F21" s="26" t="n"/>
      <c r="G21" s="27" t="n"/>
      <c r="H21" s="27" t="n"/>
      <c r="I21" s="76" t="n"/>
    </row>
    <row r="22">
      <c r="A22" s="75" t="n"/>
      <c r="B22" s="27" t="n"/>
      <c r="C22" s="26" t="n"/>
      <c r="D22" s="26" t="n"/>
      <c r="E22" s="26" t="n"/>
      <c r="F22" s="26" t="n"/>
      <c r="G22" s="27" t="n"/>
      <c r="H22" s="27" t="n"/>
      <c r="I22" s="76" t="n"/>
    </row>
    <row r="23">
      <c r="A23" s="75" t="n"/>
      <c r="B23" s="27" t="n"/>
      <c r="C23" s="26" t="n"/>
      <c r="D23" s="26" t="n"/>
      <c r="E23" s="26" t="n"/>
      <c r="F23" s="26" t="n"/>
      <c r="G23" s="27" t="n"/>
      <c r="H23" s="27" t="n"/>
      <c r="I23" s="76" t="n"/>
    </row>
    <row r="24">
      <c r="A24" s="75" t="n"/>
      <c r="B24" s="27" t="n"/>
      <c r="C24" s="26" t="n"/>
      <c r="D24" s="26" t="n"/>
      <c r="E24" s="26" t="n"/>
      <c r="F24" s="26" t="n"/>
      <c r="G24" s="27" t="n"/>
      <c r="H24" s="27" t="n"/>
      <c r="I24" s="76" t="n"/>
    </row>
    <row r="25">
      <c r="A25" s="75" t="n"/>
      <c r="B25" s="27" t="n"/>
      <c r="C25" s="26" t="n"/>
      <c r="D25" s="26" t="n"/>
      <c r="E25" s="26" t="n"/>
      <c r="F25" s="26" t="n"/>
      <c r="G25" s="27" t="n"/>
      <c r="H25" s="27" t="n"/>
      <c r="I25" s="76" t="n"/>
    </row>
    <row r="26">
      <c r="A26" s="75" t="n"/>
      <c r="B26" s="27" t="n"/>
      <c r="C26" s="26" t="n"/>
      <c r="D26" s="26" t="n"/>
      <c r="E26" s="26" t="n"/>
      <c r="F26" s="26" t="n"/>
      <c r="G26" s="27" t="n"/>
      <c r="H26" s="27" t="n"/>
      <c r="I26" s="76" t="n"/>
    </row>
    <row r="27">
      <c r="A27" s="75" t="n"/>
      <c r="B27" s="27" t="n"/>
      <c r="C27" s="26" t="n"/>
      <c r="D27" s="26" t="n"/>
      <c r="E27" s="26" t="n"/>
      <c r="F27" s="26" t="n"/>
      <c r="G27" s="27" t="n"/>
      <c r="H27" s="27" t="n"/>
      <c r="I27" s="76" t="n"/>
    </row>
    <row r="28">
      <c r="A28" s="75" t="n"/>
      <c r="B28" s="27" t="n"/>
      <c r="C28" s="26" t="n"/>
      <c r="D28" s="26" t="n"/>
      <c r="E28" s="26" t="n"/>
      <c r="F28" s="26" t="n"/>
      <c r="G28" s="27" t="n"/>
      <c r="H28" s="27" t="n"/>
      <c r="I28" s="76" t="n"/>
    </row>
    <row r="29">
      <c r="A29" s="75" t="n"/>
      <c r="B29" s="27" t="n"/>
      <c r="C29" s="26" t="n"/>
      <c r="D29" s="26" t="n"/>
      <c r="E29" s="26" t="n"/>
      <c r="F29" s="26" t="n"/>
      <c r="G29" s="27" t="n"/>
      <c r="H29" s="27" t="n"/>
      <c r="I29" s="76" t="n"/>
    </row>
    <row r="30">
      <c r="A30" s="121" t="n"/>
      <c r="B30" s="122" t="n"/>
      <c r="C30" s="123" t="n"/>
      <c r="D30" s="30" t="n"/>
      <c r="E30" s="123" t="n"/>
      <c r="F30" s="30" t="n"/>
      <c r="G30" s="31" t="n"/>
      <c r="H30" s="26" t="n"/>
      <c r="I30" s="76" t="n"/>
    </row>
    <row r="31">
      <c r="A31" s="121" t="n"/>
      <c r="B31" s="122" t="n"/>
      <c r="C31" s="123" t="n"/>
      <c r="D31" s="30" t="n"/>
      <c r="E31" s="123" t="n"/>
      <c r="F31" s="30" t="n"/>
      <c r="G31" s="31" t="n"/>
      <c r="H31" s="26" t="n"/>
      <c r="I31" s="76" t="n"/>
    </row>
    <row r="32">
      <c r="A32" s="121" t="n"/>
      <c r="B32" s="122" t="n"/>
      <c r="C32" s="123" t="n"/>
      <c r="D32" s="30" t="n"/>
      <c r="E32" s="123" t="n"/>
      <c r="F32" s="30" t="n"/>
      <c r="G32" s="31" t="n"/>
      <c r="H32" s="26" t="n"/>
      <c r="I32" s="76" t="n"/>
    </row>
    <row r="33">
      <c r="A33" s="121" t="n"/>
      <c r="B33" s="122" t="n"/>
      <c r="C33" s="123" t="n"/>
      <c r="D33" s="30" t="n"/>
      <c r="E33" s="123" t="n"/>
      <c r="F33" s="30" t="n"/>
      <c r="G33" s="31" t="n"/>
      <c r="H33" s="26" t="n"/>
      <c r="I33" s="76" t="n"/>
    </row>
    <row r="34">
      <c r="A34" s="121" t="n"/>
      <c r="B34" s="122" t="n"/>
      <c r="C34" s="123" t="n"/>
      <c r="D34" s="30" t="n"/>
      <c r="E34" s="123" t="n"/>
      <c r="F34" s="30" t="n"/>
      <c r="G34" s="31" t="n"/>
      <c r="H34" s="26" t="n"/>
      <c r="I34" s="76" t="n"/>
    </row>
    <row r="35">
      <c r="A35" s="121" t="n"/>
      <c r="B35" s="122" t="n"/>
      <c r="C35" s="32" t="n"/>
      <c r="D35" s="30" t="n"/>
      <c r="E35" s="32" t="n"/>
      <c r="F35" s="30" t="n"/>
      <c r="G35" s="31" t="n"/>
      <c r="H35" s="26" t="n"/>
      <c r="I35" s="76" t="n"/>
    </row>
    <row r="36" ht="15" customHeight="1" thickBot="1">
      <c r="A36" s="78" t="inlineStr">
        <is>
          <t xml:space="preserve"> </t>
        </is>
      </c>
      <c r="B36" s="22" t="inlineStr">
        <is>
          <t xml:space="preserve"> TOTAL</t>
        </is>
      </c>
      <c r="C36" s="23" t="n"/>
      <c r="D36" s="24" t="n"/>
      <c r="E36" s="23" t="n"/>
      <c r="F36" s="24" t="n"/>
      <c r="G36" s="25" t="n"/>
      <c r="H36" s="9">
        <f>SUM(H8:H35)</f>
        <v/>
      </c>
      <c r="I36" s="79" t="n"/>
    </row>
    <row r="37" ht="15" customHeight="1" thickTop="1">
      <c r="A37" s="80" t="n"/>
      <c r="B37" s="47" t="n"/>
      <c r="C37" s="47" t="n"/>
      <c r="D37" s="47" t="n"/>
      <c r="E37" s="47" t="n"/>
      <c r="F37" s="47" t="n"/>
      <c r="G37" s="47" t="n"/>
      <c r="H37" s="47" t="n"/>
      <c r="I37" s="74" t="n"/>
    </row>
    <row r="38" ht="15" customHeight="1" thickBot="1">
      <c r="A38" s="80" t="n"/>
      <c r="B38" s="47" t="n"/>
      <c r="C38" s="81" t="inlineStr">
        <is>
          <t>Nº Dias/Kms.</t>
        </is>
      </c>
      <c r="D38" s="81" t="inlineStr">
        <is>
          <t>Valor Diário</t>
        </is>
      </c>
      <c r="E38" s="81" t="inlineStr">
        <is>
          <t>Sub-Total</t>
        </is>
      </c>
      <c r="F38" s="47" t="n"/>
      <c r="G38" s="47" t="n"/>
      <c r="H38" s="47" t="n"/>
      <c r="I38" s="74" t="n"/>
    </row>
    <row r="39" ht="15" customHeight="1" thickTop="1">
      <c r="A39" s="64" t="n"/>
      <c r="B39" s="10" t="n"/>
      <c r="C39" s="10" t="n"/>
      <c r="D39" s="10" t="n"/>
      <c r="E39" s="10" t="n"/>
      <c r="F39" s="51" t="n"/>
      <c r="G39" s="8" t="n"/>
      <c r="H39" s="8" t="n"/>
      <c r="I39" s="65" t="n"/>
    </row>
    <row r="40">
      <c r="A40" s="82" t="inlineStr">
        <is>
          <t>1.a)</t>
        </is>
      </c>
      <c r="B40" s="83" t="inlineStr">
        <is>
          <t xml:space="preserve">   Completas ( 100% )</t>
        </is>
      </c>
      <c r="C40" s="84">
        <f>COUNTIF(G30:G34,1)-C44</f>
        <v/>
      </c>
      <c r="D40" s="85" t="n">
        <v>0</v>
      </c>
      <c r="E40" s="86">
        <f>ROUND(+D40*C40,2)</f>
        <v/>
      </c>
      <c r="F40" s="52" t="inlineStr">
        <is>
          <t xml:space="preserve"> Extenso : </t>
        </is>
      </c>
      <c r="G40" s="48" t="n"/>
      <c r="H40" s="49" t="n"/>
      <c r="I40" s="87" t="n"/>
    </row>
    <row r="41">
      <c r="A41" s="82" t="inlineStr">
        <is>
          <t>Nac.</t>
        </is>
      </c>
      <c r="B41" s="83" t="inlineStr">
        <is>
          <t xml:space="preserve">   Reduzidas (   75% )</t>
        </is>
      </c>
      <c r="C41" s="84">
        <f>COUNTIF(G30:G34,0.75)-C45</f>
        <v/>
      </c>
      <c r="D41" s="85">
        <f>+D40*0.75</f>
        <v/>
      </c>
      <c r="E41" s="85">
        <f>+D41*C41</f>
        <v/>
      </c>
      <c r="F41" s="53" t="inlineStr">
        <is>
          <t xml:space="preserve">                  </t>
        </is>
      </c>
      <c r="G41" s="50" t="n"/>
      <c r="H41" s="50" t="n"/>
      <c r="I41" s="88" t="n"/>
    </row>
    <row r="42">
      <c r="A42" s="89" t="n"/>
      <c r="B42" s="83" t="inlineStr">
        <is>
          <t xml:space="preserve">   Reduzidas (   50% )</t>
        </is>
      </c>
      <c r="C42" s="84">
        <f>COUNTIF(G30:G34,0.5)-C46</f>
        <v/>
      </c>
      <c r="D42" s="85">
        <f>+D40*0.5</f>
        <v/>
      </c>
      <c r="E42" s="86">
        <f>+D42*C42</f>
        <v/>
      </c>
      <c r="F42" s="54" t="n"/>
      <c r="G42" s="47" t="n"/>
      <c r="H42" s="47" t="n"/>
      <c r="I42" s="74" t="n"/>
    </row>
    <row r="43" ht="16.2" customHeight="1" thickBot="1">
      <c r="A43" s="90" t="n"/>
      <c r="B43" s="11" t="inlineStr">
        <is>
          <t xml:space="preserve">   Reduzidas (   25% )</t>
        </is>
      </c>
      <c r="C43" s="12">
        <f>COUNTIF(G30:G34,0.25)-C47</f>
        <v/>
      </c>
      <c r="D43" s="13">
        <f>+D40*0.25</f>
        <v/>
      </c>
      <c r="E43" s="14">
        <f>+D43*C43</f>
        <v/>
      </c>
      <c r="F43" s="112" t="inlineStr">
        <is>
          <t>Assinatura Funcionário:</t>
        </is>
      </c>
      <c r="H43" s="47" t="n"/>
      <c r="I43" s="74" t="n"/>
    </row>
    <row r="44" ht="15" customHeight="1" thickTop="1">
      <c r="A44" s="82" t="inlineStr">
        <is>
          <t>1.b)</t>
        </is>
      </c>
      <c r="B44" s="83" t="inlineStr">
        <is>
          <t xml:space="preserve">   Completas ( 100% )</t>
        </is>
      </c>
      <c r="C44" s="47" t="n">
        <v>0</v>
      </c>
      <c r="D44" s="85" t="n">
        <v>0</v>
      </c>
      <c r="E44" s="86">
        <f>ROUND(+D44*C44,2)</f>
        <v/>
      </c>
      <c r="F44" s="55" t="n"/>
      <c r="G44" s="47" t="n"/>
      <c r="H44" s="47" t="n"/>
      <c r="I44" s="74" t="n"/>
    </row>
    <row r="45" ht="15.6" customHeight="1">
      <c r="A45" s="82" t="inlineStr">
        <is>
          <t>Est.</t>
        </is>
      </c>
      <c r="B45" s="83" t="inlineStr">
        <is>
          <t xml:space="preserve">   Reduzidas (   75% )</t>
        </is>
      </c>
      <c r="C45" s="47">
        <f>COUNTIF(G30:G39,0.75)</f>
        <v/>
      </c>
      <c r="D45" s="85">
        <f>+D44*0.75</f>
        <v/>
      </c>
      <c r="E45" s="85">
        <f>+D45*C45</f>
        <v/>
      </c>
      <c r="F45" s="124" t="n"/>
      <c r="G45" s="125" t="n"/>
      <c r="H45" s="125" t="n"/>
      <c r="I45" s="126" t="n"/>
    </row>
    <row r="46" ht="15.6" customHeight="1">
      <c r="A46" s="89" t="n"/>
      <c r="B46" s="83" t="inlineStr">
        <is>
          <t xml:space="preserve">   Reduzidas (   50% )</t>
        </is>
      </c>
      <c r="C46" s="47">
        <f>COUNTIF(G30:G39,0.5)</f>
        <v/>
      </c>
      <c r="D46" s="85">
        <f>+D44*0.5</f>
        <v/>
      </c>
      <c r="E46" s="86">
        <f>+D46*C46</f>
        <v/>
      </c>
      <c r="F46" s="112" t="inlineStr">
        <is>
          <t>Assinatura Supervisor:</t>
        </is>
      </c>
      <c r="I46" s="74" t="n"/>
    </row>
    <row r="47">
      <c r="A47" s="89" t="n"/>
      <c r="B47" s="83" t="inlineStr">
        <is>
          <t xml:space="preserve">   Reduzidas (   25% )</t>
        </is>
      </c>
      <c r="C47" s="47" t="n">
        <v>0</v>
      </c>
      <c r="D47" s="85">
        <f>+D44*0.25</f>
        <v/>
      </c>
      <c r="E47" s="86">
        <f>+D47*C47</f>
        <v/>
      </c>
      <c r="F47" s="55" t="n"/>
      <c r="G47" s="47" t="n"/>
      <c r="H47" s="47" t="n"/>
      <c r="I47" s="74" t="n"/>
    </row>
    <row r="48" ht="15" customHeight="1" thickBot="1">
      <c r="A48" s="91" t="n"/>
      <c r="B48" s="92" t="n"/>
      <c r="C48" s="92" t="n"/>
      <c r="D48" s="92" t="n"/>
      <c r="E48" s="93" t="n"/>
      <c r="F48" s="127" t="n"/>
      <c r="G48" s="128" t="n"/>
      <c r="H48" s="128" t="n"/>
      <c r="I48" s="129" t="n"/>
    </row>
    <row r="49" ht="16.8" customHeight="1" thickBot="1" thickTop="1">
      <c r="A49" s="107" t="inlineStr">
        <is>
          <t>2)</t>
        </is>
      </c>
      <c r="B49" s="108" t="inlineStr">
        <is>
          <t>km. Percorridos</t>
        </is>
      </c>
      <c r="C49" s="109">
        <f>SUM(H36)</f>
        <v/>
      </c>
      <c r="D49" s="110" t="n">
        <v>0.4</v>
      </c>
      <c r="E49" s="111">
        <f>C49*D49</f>
        <v/>
      </c>
      <c r="F49" s="1" t="n"/>
      <c r="G49" s="47" t="n"/>
      <c r="H49" s="47" t="n"/>
      <c r="I49" s="74" t="n"/>
    </row>
    <row r="50" ht="15.6" customHeight="1" thickBot="1" thickTop="1">
      <c r="A50" s="91" t="n"/>
      <c r="B50" s="92" t="n"/>
      <c r="C50" s="92" t="n"/>
      <c r="D50" s="92" t="n"/>
      <c r="E50" s="93" t="n"/>
      <c r="F50" s="44" t="inlineStr">
        <is>
          <t xml:space="preserve">Data : </t>
        </is>
      </c>
      <c r="G50" s="120" t="inlineStr">
        <is>
          <t>___/___/___</t>
        </is>
      </c>
      <c r="I50" s="74" t="n"/>
    </row>
    <row r="51" ht="15.6" customHeight="1" thickBot="1" thickTop="1">
      <c r="A51" s="94" t="inlineStr">
        <is>
          <t>3)</t>
        </is>
      </c>
      <c r="B51" s="16" t="inlineStr">
        <is>
          <t>Subsídio de Alimentação</t>
        </is>
      </c>
      <c r="C51" s="19">
        <f>+C43+C42+C41+C40+C44+C45+C46+C47</f>
        <v/>
      </c>
      <c r="D51" s="17" t="n"/>
      <c r="E51" s="18">
        <f>+C51*D51</f>
        <v/>
      </c>
      <c r="F51" s="21" t="n"/>
      <c r="I51" s="95" t="n"/>
    </row>
    <row r="52" ht="15" customHeight="1" thickTop="1">
      <c r="A52" s="96" t="n"/>
      <c r="B52" s="47" t="n"/>
      <c r="C52" s="47" t="n"/>
      <c r="D52" s="85" t="n"/>
      <c r="E52" s="97" t="n"/>
      <c r="F52" s="98" t="n"/>
      <c r="G52" s="47" t="n"/>
      <c r="H52" s="47" t="n"/>
      <c r="I52" s="74" t="n"/>
    </row>
    <row r="53">
      <c r="A53" s="80" t="n"/>
      <c r="B53" s="99" t="inlineStr">
        <is>
          <t>TOTAL RECEBIDO ( 1 + 2 - 3 ) ………………………………………………..</t>
        </is>
      </c>
      <c r="C53" s="100" t="n"/>
      <c r="D53" s="100" t="n"/>
      <c r="E53" s="101">
        <f>+E40+E43+E49-E51+E44+E47</f>
        <v/>
      </c>
      <c r="F53" s="102" t="n"/>
      <c r="G53" s="85" t="n"/>
      <c r="H53" s="47" t="n"/>
      <c r="I53" s="103" t="n"/>
    </row>
    <row r="54" ht="15" customHeight="1" thickBot="1">
      <c r="A54" s="104" t="n"/>
      <c r="B54" s="105" t="n"/>
      <c r="C54" s="105" t="n"/>
      <c r="D54" s="105" t="n"/>
      <c r="E54" s="105" t="n"/>
      <c r="F54" s="105" t="n"/>
      <c r="G54" s="105" t="n"/>
      <c r="H54" s="105" t="n"/>
      <c r="I54" s="106" t="n"/>
    </row>
    <row r="55" ht="15" customHeight="1" thickTop="1"/>
  </sheetData>
  <mergeCells count="5">
    <mergeCell ref="F43:G43"/>
    <mergeCell ref="F46:H46"/>
    <mergeCell ref="G50:H51"/>
    <mergeCell ref="F48:I48"/>
    <mergeCell ref="F45:I45"/>
  </mergeCells>
  <pageMargins left="0.7086614173228347" right="0.7086614173228347" top="0.7480314960629921" bottom="0.7480314960629921" header="0.3149606299212598" footer="0.3149606299212598"/>
  <pageSetup orientation="landscape" paperSize="9" scale="5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54"/>
  <sheetViews>
    <sheetView workbookViewId="0">
      <selection activeCell="H11" sqref="H11"/>
    </sheetView>
  </sheetViews>
  <sheetFormatPr baseColWidth="8" defaultRowHeight="14.4"/>
  <cols>
    <col width="12.88671875" customWidth="1" min="1" max="1"/>
    <col width="65.33203125" customWidth="1" min="2" max="2"/>
    <col width="12.33203125" customWidth="1" min="3" max="3"/>
    <col width="16.44140625" customWidth="1" min="4" max="4"/>
    <col width="20" customWidth="1" min="6" max="6"/>
    <col width="12.6640625" customWidth="1" min="7" max="7"/>
    <col width="19.6640625" customWidth="1" min="8" max="8"/>
    <col width="48.44140625" customWidth="1" min="9" max="9"/>
  </cols>
  <sheetData>
    <row r="1" ht="30" customHeight="1" thickBot="1" thickTop="1">
      <c r="A1" s="56" t="inlineStr">
        <is>
          <t>GHH - Services Portugal, Lda.</t>
        </is>
      </c>
      <c r="B1" s="57" t="n"/>
      <c r="C1" s="58" t="n"/>
      <c r="D1" s="58" t="n"/>
      <c r="E1" s="58" t="n"/>
      <c r="F1" s="58" t="n"/>
      <c r="G1" s="58" t="n"/>
      <c r="H1" s="58" t="n"/>
      <c r="I1" s="59" t="n"/>
    </row>
    <row r="2" ht="15" customHeight="1" thickTop="1">
      <c r="A2" s="60" t="inlineStr">
        <is>
          <t>NOME DO FUNCIONÁRIO : XXXXXXX</t>
        </is>
      </c>
      <c r="B2" s="5" t="n"/>
      <c r="C2" s="20" t="n"/>
      <c r="D2" s="4" t="inlineStr">
        <is>
          <t>CATEGORIA :</t>
        </is>
      </c>
      <c r="E2" s="5" t="inlineStr">
        <is>
          <t>XXXX</t>
        </is>
      </c>
      <c r="F2" s="5" t="n"/>
      <c r="G2" s="5" t="n"/>
      <c r="H2" s="45" t="inlineStr">
        <is>
          <t xml:space="preserve"> </t>
        </is>
      </c>
      <c r="I2" s="61" t="inlineStr">
        <is>
          <t>Mês:  XXXXXXXXX</t>
        </is>
      </c>
    </row>
    <row r="3" ht="15" customHeight="1" thickBot="1">
      <c r="A3" s="62" t="inlineStr">
        <is>
          <t>DEPARTAMENTO  :  XXXXXXXXXXX</t>
        </is>
      </c>
      <c r="B3" s="7" t="n"/>
      <c r="C3" s="15" t="n"/>
      <c r="D3" s="6" t="inlineStr">
        <is>
          <t xml:space="preserve">VEÍCULO/Matrícula : </t>
        </is>
      </c>
      <c r="E3" s="7" t="inlineStr">
        <is>
          <t>XXXXXX</t>
        </is>
      </c>
      <c r="F3" s="7" t="n"/>
      <c r="G3" s="7" t="n"/>
      <c r="H3" s="46" t="n"/>
      <c r="I3" s="63" t="inlineStr">
        <is>
          <t xml:space="preserve"> </t>
        </is>
      </c>
    </row>
    <row r="4" ht="15" customHeight="1" thickTop="1">
      <c r="A4" s="64" t="n"/>
      <c r="B4" s="33" t="n"/>
      <c r="C4" s="8" t="n"/>
      <c r="D4" s="8" t="n"/>
      <c r="E4" s="36" t="n"/>
      <c r="F4" s="37" t="n"/>
      <c r="G4" s="8" t="n"/>
      <c r="H4" s="33" t="n"/>
      <c r="I4" s="65" t="n"/>
    </row>
    <row r="5">
      <c r="A5" s="66" t="inlineStr">
        <is>
          <t>DIAS</t>
        </is>
      </c>
      <c r="B5" s="34" t="inlineStr">
        <is>
          <t>Descritivo Com o Cliente Descriminado</t>
        </is>
      </c>
      <c r="C5" s="67" t="inlineStr">
        <is>
          <t>Início ou Continuação</t>
        </is>
      </c>
      <c r="D5" s="67" t="n"/>
      <c r="E5" s="38" t="inlineStr">
        <is>
          <t>Regresso</t>
        </is>
      </c>
      <c r="F5" s="3" t="n"/>
      <c r="G5" s="67" t="inlineStr">
        <is>
          <t>%</t>
        </is>
      </c>
      <c r="H5" s="42" t="inlineStr">
        <is>
          <t>Kms</t>
        </is>
      </c>
      <c r="I5" s="68" t="inlineStr">
        <is>
          <t>LOCALIDADE/TRAJECTO</t>
        </is>
      </c>
    </row>
    <row r="6">
      <c r="A6" s="66" t="inlineStr">
        <is>
          <t>MÊS</t>
        </is>
      </c>
      <c r="B6" s="34" t="n"/>
      <c r="C6" s="69" t="inlineStr">
        <is>
          <t>Dia</t>
        </is>
      </c>
      <c r="D6" s="69" t="inlineStr">
        <is>
          <t>Hora</t>
        </is>
      </c>
      <c r="E6" s="2" t="inlineStr">
        <is>
          <t>Dia</t>
        </is>
      </c>
      <c r="F6" s="39" t="inlineStr">
        <is>
          <t>Hora</t>
        </is>
      </c>
      <c r="G6" s="70" t="n"/>
      <c r="H6" s="43" t="n"/>
      <c r="I6" s="71" t="n"/>
    </row>
    <row r="7">
      <c r="A7" s="72" t="n"/>
      <c r="B7" s="35" t="n"/>
      <c r="C7" s="73" t="n"/>
      <c r="D7" s="73" t="n"/>
      <c r="E7" s="40" t="n"/>
      <c r="F7" s="41" t="n"/>
      <c r="G7" s="47" t="n"/>
      <c r="H7" s="35" t="n"/>
      <c r="I7" s="74" t="n"/>
    </row>
    <row r="8">
      <c r="A8" s="75" t="inlineStr">
        <is>
          <t>XXX</t>
        </is>
      </c>
      <c r="B8" s="27" t="inlineStr">
        <is>
          <t xml:space="preserve">Deslocação ao cliente Y </t>
        </is>
      </c>
      <c r="C8" s="26" t="inlineStr">
        <is>
          <t>XXXX</t>
        </is>
      </c>
      <c r="D8" s="26" t="inlineStr">
        <is>
          <t>XXXX</t>
        </is>
      </c>
      <c r="E8" s="26" t="inlineStr">
        <is>
          <t>XXXX</t>
        </is>
      </c>
      <c r="F8" s="26" t="inlineStr">
        <is>
          <t>XXXX</t>
        </is>
      </c>
      <c r="G8" s="27" t="n"/>
      <c r="H8" s="27" t="n">
        <v>12</v>
      </c>
      <c r="I8" s="76" t="inlineStr">
        <is>
          <t>XXXXXXXXXXXXXX</t>
        </is>
      </c>
    </row>
    <row r="9">
      <c r="A9" s="75" t="inlineStr">
        <is>
          <t>XXX</t>
        </is>
      </c>
      <c r="B9" s="27" t="inlineStr">
        <is>
          <t>Deslocação ao Porto para reunião com os clientes  X Y ou Z</t>
        </is>
      </c>
      <c r="C9" s="26" t="inlineStr">
        <is>
          <t>XXXX</t>
        </is>
      </c>
      <c r="D9" s="26" t="inlineStr">
        <is>
          <t>XXXX</t>
        </is>
      </c>
      <c r="E9" s="26" t="inlineStr">
        <is>
          <t>XXXX</t>
        </is>
      </c>
      <c r="F9" s="26" t="inlineStr">
        <is>
          <t>XXXX</t>
        </is>
      </c>
      <c r="G9" s="27" t="n"/>
      <c r="H9" s="27" t="n">
        <v>200</v>
      </c>
      <c r="I9" s="76" t="inlineStr">
        <is>
          <t>XXXXXXXXXXXXXX</t>
        </is>
      </c>
    </row>
    <row r="10">
      <c r="A10" s="75" t="inlineStr">
        <is>
          <t>XXX</t>
        </is>
      </c>
      <c r="B10" s="27" t="inlineStr">
        <is>
          <t xml:space="preserve">Deslocação `HN Porto para formação </t>
        </is>
      </c>
      <c r="C10" s="26" t="inlineStr">
        <is>
          <t>XXXX</t>
        </is>
      </c>
      <c r="D10" s="26" t="inlineStr">
        <is>
          <t>XXXX</t>
        </is>
      </c>
      <c r="E10" s="26" t="inlineStr">
        <is>
          <t>XXXX</t>
        </is>
      </c>
      <c r="F10" s="26" t="inlineStr">
        <is>
          <t>XXXX</t>
        </is>
      </c>
      <c r="G10" s="27" t="n"/>
      <c r="H10" s="27" t="n">
        <v>120</v>
      </c>
      <c r="I10" s="76" t="inlineStr">
        <is>
          <t>XXXXXXXXXXXXXX</t>
        </is>
      </c>
    </row>
    <row r="11">
      <c r="A11" s="75" t="n"/>
      <c r="B11" s="27" t="n"/>
      <c r="C11" s="26" t="n"/>
      <c r="D11" s="26" t="n"/>
      <c r="E11" s="26" t="n"/>
      <c r="F11" s="26" t="n"/>
      <c r="G11" s="27" t="n"/>
      <c r="H11" s="27" t="n"/>
      <c r="I11" s="76" t="n"/>
    </row>
    <row r="12">
      <c r="A12" s="75" t="n"/>
      <c r="B12" s="27" t="n"/>
      <c r="C12" s="26" t="n"/>
      <c r="D12" s="26" t="n"/>
      <c r="E12" s="26" t="n"/>
      <c r="F12" s="26" t="n"/>
      <c r="G12" s="27" t="n"/>
      <c r="H12" s="27" t="n"/>
      <c r="I12" s="76" t="n"/>
    </row>
    <row r="13">
      <c r="A13" s="75" t="n"/>
      <c r="B13" s="27" t="n"/>
      <c r="C13" s="26" t="n"/>
      <c r="D13" s="26" t="n"/>
      <c r="E13" s="26" t="n"/>
      <c r="F13" s="26" t="n"/>
      <c r="G13" s="27" t="n"/>
      <c r="H13" s="27" t="n"/>
      <c r="I13" s="76" t="n"/>
    </row>
    <row r="14">
      <c r="A14" s="75" t="n"/>
      <c r="B14" s="27" t="n"/>
      <c r="C14" s="26" t="n"/>
      <c r="D14" s="26" t="n"/>
      <c r="E14" s="26" t="n"/>
      <c r="F14" s="26" t="n"/>
      <c r="G14" s="27" t="n"/>
      <c r="H14" s="27" t="n"/>
      <c r="I14" s="76" t="n"/>
    </row>
    <row r="15">
      <c r="A15" s="75" t="n"/>
      <c r="B15" s="27" t="n"/>
      <c r="C15" s="26" t="n"/>
      <c r="D15" s="26" t="n"/>
      <c r="E15" s="26" t="n"/>
      <c r="F15" s="26" t="n"/>
      <c r="G15" s="27" t="n"/>
      <c r="H15" s="27" t="n"/>
      <c r="I15" s="76" t="n"/>
    </row>
    <row r="16">
      <c r="A16" s="75" t="n"/>
      <c r="B16" s="27" t="n"/>
      <c r="C16" s="26" t="n"/>
      <c r="D16" s="26" t="n"/>
      <c r="E16" s="26" t="n"/>
      <c r="F16" s="26" t="n"/>
      <c r="G16" s="27" t="n"/>
      <c r="H16" s="27" t="n"/>
      <c r="I16" s="76" t="n"/>
    </row>
    <row r="17">
      <c r="A17" s="75" t="n"/>
      <c r="B17" s="27" t="n"/>
      <c r="C17" s="26" t="n"/>
      <c r="D17" s="26" t="n"/>
      <c r="E17" s="26" t="n"/>
      <c r="F17" s="26" t="n"/>
      <c r="G17" s="27" t="n"/>
      <c r="H17" s="27" t="n"/>
      <c r="I17" s="76" t="n"/>
    </row>
    <row r="18">
      <c r="A18" s="75" t="n"/>
      <c r="B18" s="27" t="n"/>
      <c r="C18" s="26" t="n"/>
      <c r="D18" s="26" t="n"/>
      <c r="E18" s="26" t="n"/>
      <c r="F18" s="26" t="n"/>
      <c r="G18" s="27" t="n"/>
      <c r="H18" s="27" t="n"/>
      <c r="I18" s="76" t="n"/>
    </row>
    <row r="19">
      <c r="A19" s="75" t="n"/>
      <c r="B19" s="27" t="n"/>
      <c r="C19" s="26" t="n"/>
      <c r="D19" s="26" t="n"/>
      <c r="E19" s="26" t="n"/>
      <c r="F19" s="26" t="n"/>
      <c r="G19" s="27" t="n"/>
      <c r="H19" s="27" t="n"/>
      <c r="I19" s="76" t="n"/>
    </row>
    <row r="20">
      <c r="A20" s="75" t="n"/>
      <c r="B20" s="27" t="n"/>
      <c r="C20" s="26" t="n"/>
      <c r="D20" s="26" t="n"/>
      <c r="E20" s="26" t="n"/>
      <c r="F20" s="26" t="n"/>
      <c r="G20" s="27" t="n"/>
      <c r="H20" s="27" t="n"/>
      <c r="I20" s="76" t="n"/>
    </row>
    <row r="21">
      <c r="A21" s="75" t="n"/>
      <c r="B21" s="27" t="n"/>
      <c r="C21" s="26" t="n"/>
      <c r="D21" s="26" t="n"/>
      <c r="E21" s="26" t="n"/>
      <c r="F21" s="26" t="n"/>
      <c r="G21" s="27" t="n"/>
      <c r="H21" s="27" t="n"/>
      <c r="I21" s="76" t="n"/>
    </row>
    <row r="22">
      <c r="A22" s="75" t="n"/>
      <c r="B22" s="27" t="n"/>
      <c r="C22" s="26" t="n"/>
      <c r="D22" s="26" t="n"/>
      <c r="E22" s="26" t="n"/>
      <c r="F22" s="26" t="n"/>
      <c r="G22" s="27" t="n"/>
      <c r="H22" s="27" t="n"/>
      <c r="I22" s="76" t="n"/>
    </row>
    <row r="23">
      <c r="A23" s="75" t="n"/>
      <c r="B23" s="27" t="n"/>
      <c r="C23" s="26" t="n"/>
      <c r="D23" s="26" t="n"/>
      <c r="E23" s="26" t="n"/>
      <c r="F23" s="26" t="n"/>
      <c r="G23" s="27" t="n"/>
      <c r="H23" s="27" t="n"/>
      <c r="I23" s="76" t="n"/>
    </row>
    <row r="24">
      <c r="A24" s="75" t="n"/>
      <c r="B24" s="27" t="n"/>
      <c r="C24" s="26" t="n"/>
      <c r="D24" s="26" t="n"/>
      <c r="E24" s="26" t="n"/>
      <c r="F24" s="26" t="n"/>
      <c r="G24" s="27" t="n"/>
      <c r="H24" s="27" t="n"/>
      <c r="I24" s="76" t="n"/>
    </row>
    <row r="25">
      <c r="A25" s="75" t="n"/>
      <c r="B25" s="27" t="n"/>
      <c r="C25" s="26" t="n"/>
      <c r="D25" s="26" t="n"/>
      <c r="E25" s="26" t="n"/>
      <c r="F25" s="26" t="n"/>
      <c r="G25" s="27" t="n"/>
      <c r="H25" s="27" t="n"/>
      <c r="I25" s="76" t="n"/>
    </row>
    <row r="26">
      <c r="A26" s="75" t="n"/>
      <c r="B26" s="27" t="n"/>
      <c r="C26" s="26" t="n"/>
      <c r="D26" s="26" t="n"/>
      <c r="E26" s="26" t="n"/>
      <c r="F26" s="26" t="n"/>
      <c r="G26" s="27" t="n"/>
      <c r="H26" s="27" t="n"/>
      <c r="I26" s="76" t="n"/>
    </row>
    <row r="27">
      <c r="A27" s="75" t="n"/>
      <c r="B27" s="27" t="n"/>
      <c r="C27" s="26" t="n"/>
      <c r="D27" s="26" t="n"/>
      <c r="E27" s="26" t="n"/>
      <c r="F27" s="26" t="n"/>
      <c r="G27" s="27" t="n"/>
      <c r="H27" s="27" t="n"/>
      <c r="I27" s="76" t="n"/>
    </row>
    <row r="28">
      <c r="A28" s="75" t="n"/>
      <c r="B28" s="27" t="n"/>
      <c r="C28" s="26" t="n"/>
      <c r="D28" s="26" t="n"/>
      <c r="E28" s="26" t="n"/>
      <c r="F28" s="26" t="n"/>
      <c r="G28" s="27" t="n"/>
      <c r="H28" s="27" t="n"/>
      <c r="I28" s="76" t="n"/>
    </row>
    <row r="29">
      <c r="A29" s="75" t="n"/>
      <c r="B29" s="27" t="n"/>
      <c r="C29" s="26" t="n"/>
      <c r="D29" s="26" t="n"/>
      <c r="E29" s="26" t="n"/>
      <c r="F29" s="26" t="n"/>
      <c r="G29" s="27" t="n"/>
      <c r="H29" s="27" t="n"/>
      <c r="I29" s="76" t="n"/>
    </row>
    <row r="30">
      <c r="A30" s="77" t="n"/>
      <c r="B30" s="29" t="n"/>
      <c r="C30" s="28" t="n"/>
      <c r="D30" s="30" t="n"/>
      <c r="E30" s="28" t="n"/>
      <c r="F30" s="30" t="n"/>
      <c r="G30" s="31" t="n"/>
      <c r="H30" s="26" t="n"/>
      <c r="I30" s="76" t="n"/>
    </row>
    <row r="31">
      <c r="A31" s="77" t="n"/>
      <c r="B31" s="29" t="n"/>
      <c r="C31" s="28" t="n"/>
      <c r="D31" s="30" t="n"/>
      <c r="E31" s="28" t="n"/>
      <c r="F31" s="30" t="n"/>
      <c r="G31" s="31" t="n"/>
      <c r="H31" s="26" t="n"/>
      <c r="I31" s="76" t="n"/>
    </row>
    <row r="32">
      <c r="A32" s="77" t="n"/>
      <c r="B32" s="29" t="n"/>
      <c r="C32" s="28" t="n"/>
      <c r="D32" s="30" t="n"/>
      <c r="E32" s="28" t="n"/>
      <c r="F32" s="30" t="n"/>
      <c r="G32" s="31" t="n"/>
      <c r="H32" s="26" t="n"/>
      <c r="I32" s="76" t="n"/>
    </row>
    <row r="33">
      <c r="A33" s="77" t="n"/>
      <c r="B33" s="29" t="n"/>
      <c r="C33" s="28" t="n"/>
      <c r="D33" s="30" t="n"/>
      <c r="E33" s="28" t="n"/>
      <c r="F33" s="30" t="n"/>
      <c r="G33" s="31" t="n"/>
      <c r="H33" s="26" t="n"/>
      <c r="I33" s="76" t="n"/>
    </row>
    <row r="34">
      <c r="A34" s="77" t="n"/>
      <c r="B34" s="29" t="n"/>
      <c r="C34" s="28" t="n"/>
      <c r="D34" s="30" t="n"/>
      <c r="E34" s="28" t="n"/>
      <c r="F34" s="30" t="n"/>
      <c r="G34" s="31" t="n"/>
      <c r="H34" s="26" t="n"/>
      <c r="I34" s="76" t="n"/>
    </row>
    <row r="35">
      <c r="A35" s="77" t="n"/>
      <c r="B35" s="29" t="n"/>
      <c r="C35" s="32" t="n"/>
      <c r="D35" s="30" t="n"/>
      <c r="E35" s="32" t="n"/>
      <c r="F35" s="30" t="n"/>
      <c r="G35" s="31" t="n"/>
      <c r="H35" s="26" t="n"/>
      <c r="I35" s="76" t="n"/>
    </row>
    <row r="36" ht="15" customHeight="1" thickBot="1">
      <c r="A36" s="78" t="inlineStr">
        <is>
          <t xml:space="preserve"> </t>
        </is>
      </c>
      <c r="B36" s="22" t="inlineStr">
        <is>
          <t xml:space="preserve"> TOTAL</t>
        </is>
      </c>
      <c r="C36" s="23" t="n"/>
      <c r="D36" s="24" t="n"/>
      <c r="E36" s="23" t="n"/>
      <c r="F36" s="24" t="n"/>
      <c r="G36" s="25" t="n"/>
      <c r="H36" s="9">
        <f>SUM(H8:H35)</f>
        <v/>
      </c>
      <c r="I36" s="79" t="n"/>
    </row>
    <row r="37" ht="15" customHeight="1" thickTop="1">
      <c r="A37" s="80" t="n"/>
      <c r="B37" s="47" t="n"/>
      <c r="C37" s="47" t="n"/>
      <c r="D37" s="47" t="n"/>
      <c r="E37" s="47" t="n"/>
      <c r="F37" s="47" t="n"/>
      <c r="G37" s="47" t="n"/>
      <c r="H37" s="47" t="n"/>
      <c r="I37" s="74" t="n"/>
    </row>
    <row r="38" ht="15" customHeight="1" thickBot="1">
      <c r="A38" s="80" t="n"/>
      <c r="B38" s="47" t="n"/>
      <c r="C38" s="81" t="inlineStr">
        <is>
          <t>Nº Dias/Kms.</t>
        </is>
      </c>
      <c r="D38" s="81" t="inlineStr">
        <is>
          <t>Valor Diário</t>
        </is>
      </c>
      <c r="E38" s="81" t="inlineStr">
        <is>
          <t>Sub-Total</t>
        </is>
      </c>
      <c r="F38" s="47" t="n"/>
      <c r="G38" s="47" t="n"/>
      <c r="H38" s="47" t="n"/>
      <c r="I38" s="74" t="n"/>
    </row>
    <row r="39" ht="15" customHeight="1" thickTop="1">
      <c r="A39" s="64" t="n"/>
      <c r="B39" s="10" t="n"/>
      <c r="C39" s="10" t="n"/>
      <c r="D39" s="10" t="n"/>
      <c r="E39" s="10" t="n"/>
      <c r="F39" s="51" t="n"/>
      <c r="G39" s="8" t="n"/>
      <c r="H39" s="8" t="n"/>
      <c r="I39" s="65" t="n"/>
    </row>
    <row r="40">
      <c r="A40" s="82" t="inlineStr">
        <is>
          <t>1.a)</t>
        </is>
      </c>
      <c r="B40" s="83" t="inlineStr">
        <is>
          <t xml:space="preserve">   Completas ( 100% )</t>
        </is>
      </c>
      <c r="C40" s="84">
        <f>COUNTIF(G30:G34,1)-C44</f>
        <v/>
      </c>
      <c r="D40" s="85" t="n">
        <v>0</v>
      </c>
      <c r="E40" s="86">
        <f>ROUND(+D40*C40,2)</f>
        <v/>
      </c>
      <c r="F40" s="52" t="inlineStr">
        <is>
          <t xml:space="preserve"> Extenso : </t>
        </is>
      </c>
      <c r="G40" s="48" t="n"/>
      <c r="H40" s="49" t="n"/>
      <c r="I40" s="87" t="n"/>
    </row>
    <row r="41">
      <c r="A41" s="82" t="inlineStr">
        <is>
          <t>Nac.</t>
        </is>
      </c>
      <c r="B41" s="83" t="inlineStr">
        <is>
          <t xml:space="preserve">   Reduzidas (   75% )</t>
        </is>
      </c>
      <c r="C41" s="84">
        <f>COUNTIF(G30:G34,0.75)-C45</f>
        <v/>
      </c>
      <c r="D41" s="85">
        <f>+D40*0.75</f>
        <v/>
      </c>
      <c r="E41" s="85">
        <f>+D41*C41</f>
        <v/>
      </c>
      <c r="F41" s="53" t="inlineStr">
        <is>
          <t xml:space="preserve">                  </t>
        </is>
      </c>
      <c r="G41" s="50" t="inlineStr">
        <is>
          <t>(não é relevante, mas se estiver escrito melhor)</t>
        </is>
      </c>
      <c r="H41" s="50" t="n"/>
      <c r="I41" s="88" t="n"/>
    </row>
    <row r="42">
      <c r="A42" s="89" t="n"/>
      <c r="B42" s="83" t="inlineStr">
        <is>
          <t xml:space="preserve">   Reduzidas (   50% )</t>
        </is>
      </c>
      <c r="C42" s="84">
        <f>COUNTIF(G30:G34,0.5)-C46</f>
        <v/>
      </c>
      <c r="D42" s="85">
        <f>+D40*0.5</f>
        <v/>
      </c>
      <c r="E42" s="86">
        <f>+D42*C42</f>
        <v/>
      </c>
      <c r="F42" s="54" t="n"/>
      <c r="G42" s="47" t="n"/>
      <c r="H42" s="47" t="n"/>
      <c r="I42" s="74" t="n"/>
    </row>
    <row r="43" ht="16.2" customHeight="1" thickBot="1">
      <c r="A43" s="90" t="n"/>
      <c r="B43" s="11" t="inlineStr">
        <is>
          <t xml:space="preserve">   Reduzidas (   25% )</t>
        </is>
      </c>
      <c r="C43" s="12">
        <f>COUNTIF(G30:G34,0.25)-C47</f>
        <v/>
      </c>
      <c r="D43" s="13">
        <f>+D40*0.25</f>
        <v/>
      </c>
      <c r="E43" s="14">
        <f>+D43*C43</f>
        <v/>
      </c>
      <c r="F43" s="112" t="inlineStr">
        <is>
          <t>Assinatura Funcionário:</t>
        </is>
      </c>
      <c r="H43" s="47" t="n"/>
      <c r="I43" s="74" t="n"/>
    </row>
    <row r="44" ht="15" customHeight="1" thickTop="1">
      <c r="A44" s="82" t="inlineStr">
        <is>
          <t>1.b)</t>
        </is>
      </c>
      <c r="B44" s="83" t="inlineStr">
        <is>
          <t xml:space="preserve">   Completas ( 100% )</t>
        </is>
      </c>
      <c r="C44" s="47" t="n">
        <v>0</v>
      </c>
      <c r="D44" s="85" t="n">
        <v>0</v>
      </c>
      <c r="E44" s="86">
        <f>ROUND(+D44*C44,2)</f>
        <v/>
      </c>
      <c r="F44" s="55" t="n"/>
      <c r="G44" s="47" t="n"/>
      <c r="H44" s="47" t="inlineStr">
        <is>
          <t>(Sempre assinado, de acordo com o que falamos)</t>
        </is>
      </c>
      <c r="I44" s="74" t="n"/>
    </row>
    <row r="45" ht="15.6" customHeight="1">
      <c r="A45" s="82" t="inlineStr">
        <is>
          <t>Est.</t>
        </is>
      </c>
      <c r="B45" s="83" t="inlineStr">
        <is>
          <t xml:space="preserve">   Reduzidas (   75% )</t>
        </is>
      </c>
      <c r="C45" s="47">
        <f>COUNTIF(G30:G39,0.75)</f>
        <v/>
      </c>
      <c r="D45" s="85">
        <f>+D44*0.75</f>
        <v/>
      </c>
      <c r="E45" s="85">
        <f>+D45*C45</f>
        <v/>
      </c>
      <c r="F45" s="124" t="inlineStr">
        <is>
          <t>XXXXXXXXXXXXXXX</t>
        </is>
      </c>
      <c r="G45" s="125" t="n"/>
      <c r="H45" s="125" t="n"/>
      <c r="I45" s="126" t="n"/>
    </row>
    <row r="46" ht="15.6" customHeight="1">
      <c r="A46" s="89" t="n"/>
      <c r="B46" s="83" t="inlineStr">
        <is>
          <t xml:space="preserve">   Reduzidas (   50% )</t>
        </is>
      </c>
      <c r="C46" s="47">
        <f>COUNTIF(G30:G39,0.5)</f>
        <v/>
      </c>
      <c r="D46" s="85">
        <f>+D44*0.5</f>
        <v/>
      </c>
      <c r="E46" s="86">
        <f>+D46*C46</f>
        <v/>
      </c>
      <c r="F46" s="112" t="inlineStr">
        <is>
          <t>Assinatura Supervisor:</t>
        </is>
      </c>
      <c r="I46" s="74" t="n"/>
    </row>
    <row r="47">
      <c r="A47" s="89" t="n"/>
      <c r="B47" s="83" t="inlineStr">
        <is>
          <t xml:space="preserve">   Reduzidas (   25% )</t>
        </is>
      </c>
      <c r="C47" s="47" t="n">
        <v>0</v>
      </c>
      <c r="D47" s="85">
        <f>+D44*0.25</f>
        <v/>
      </c>
      <c r="E47" s="86">
        <f>+D47*C47</f>
        <v/>
      </c>
      <c r="F47" s="55" t="n"/>
      <c r="G47" s="47" t="n"/>
      <c r="H47" s="47" t="inlineStr">
        <is>
          <t>(deveria sempre ser suprevisionado e assinado por superior)</t>
        </is>
      </c>
      <c r="I47" s="74" t="n"/>
    </row>
    <row r="48" ht="15" customHeight="1" thickBot="1">
      <c r="A48" s="91" t="n"/>
      <c r="B48" s="92" t="n"/>
      <c r="C48" s="92" t="n"/>
      <c r="D48" s="92" t="n"/>
      <c r="E48" s="93" t="n"/>
      <c r="F48" s="127" t="inlineStr">
        <is>
          <t>XXXXXXXXXXXXXXX</t>
        </is>
      </c>
      <c r="G48" s="128" t="n"/>
      <c r="H48" s="128" t="n"/>
      <c r="I48" s="129" t="n"/>
    </row>
    <row r="49" ht="16.8" customHeight="1" thickBot="1" thickTop="1">
      <c r="A49" s="107" t="inlineStr">
        <is>
          <t>2)</t>
        </is>
      </c>
      <c r="B49" s="108" t="inlineStr">
        <is>
          <t>km. Percorridos</t>
        </is>
      </c>
      <c r="C49" s="109">
        <f>SUM(H36)</f>
        <v/>
      </c>
      <c r="D49" s="110" t="n">
        <v>0.36</v>
      </c>
      <c r="E49" s="111">
        <f>C49*D49</f>
        <v/>
      </c>
      <c r="F49" s="1" t="n"/>
      <c r="G49" s="47" t="n"/>
      <c r="H49" s="47" t="n"/>
      <c r="I49" s="74" t="n"/>
    </row>
    <row r="50" ht="15.6" customHeight="1" thickBot="1" thickTop="1">
      <c r="A50" s="91" t="n"/>
      <c r="B50" s="92" t="n"/>
      <c r="C50" s="92" t="n"/>
      <c r="D50" s="92" t="n"/>
      <c r="E50" s="93" t="n"/>
      <c r="F50" s="44" t="inlineStr">
        <is>
          <t xml:space="preserve">Data : </t>
        </is>
      </c>
      <c r="G50" s="120" t="inlineStr">
        <is>
          <t>___/___/___</t>
        </is>
      </c>
      <c r="I50" s="74" t="n"/>
    </row>
    <row r="51" ht="15.6" customHeight="1" thickBot="1" thickTop="1">
      <c r="A51" s="94" t="inlineStr">
        <is>
          <t>3)</t>
        </is>
      </c>
      <c r="B51" s="16" t="inlineStr">
        <is>
          <t>Subsídio de Alimentação</t>
        </is>
      </c>
      <c r="C51" s="19">
        <f>+C43+C42+C41+C40+C44+C45+C46+C47</f>
        <v/>
      </c>
      <c r="D51" s="17" t="n"/>
      <c r="E51" s="18">
        <f>+C51*D51</f>
        <v/>
      </c>
      <c r="F51" s="21" t="n"/>
      <c r="I51" s="95" t="n"/>
    </row>
    <row r="52" ht="15" customHeight="1" thickTop="1">
      <c r="A52" s="96" t="n"/>
      <c r="B52" s="47" t="n"/>
      <c r="C52" s="47" t="n"/>
      <c r="D52" s="85" t="n"/>
      <c r="E52" s="97" t="n"/>
      <c r="F52" s="98" t="n"/>
      <c r="G52" s="47" t="n"/>
      <c r="H52" s="47" t="n"/>
      <c r="I52" s="74" t="n"/>
    </row>
    <row r="53">
      <c r="A53" s="80" t="n"/>
      <c r="B53" s="99" t="inlineStr">
        <is>
          <t>TOTAL RECEBIDO ( 1 + 2 - 3 ) ………………………………………………..</t>
        </is>
      </c>
      <c r="C53" s="100" t="n"/>
      <c r="D53" s="100" t="n"/>
      <c r="E53" s="101">
        <f>+E40+E43+E49-E51+E44+E47</f>
        <v/>
      </c>
      <c r="F53" s="102" t="n"/>
      <c r="G53" s="85" t="n"/>
      <c r="H53" s="47" t="n"/>
      <c r="I53" s="103" t="n"/>
    </row>
    <row r="54" ht="15" customHeight="1" thickBot="1">
      <c r="A54" s="104" t="n"/>
      <c r="B54" s="105" t="n"/>
      <c r="C54" s="105" t="n"/>
      <c r="D54" s="105" t="n"/>
      <c r="E54" s="105" t="n"/>
      <c r="F54" s="105" t="n"/>
      <c r="G54" s="105" t="n"/>
      <c r="H54" s="105" t="n"/>
      <c r="I54" s="106" t="n"/>
    </row>
    <row r="55" ht="15" customHeight="1" thickTop="1"/>
  </sheetData>
  <mergeCells count="5">
    <mergeCell ref="F43:G43"/>
    <mergeCell ref="F46:H46"/>
    <mergeCell ref="G50:H51"/>
    <mergeCell ref="F48:I48"/>
    <mergeCell ref="F45:I45"/>
  </mergeCells>
  <pageMargins left="0.7086614173228347" right="0.7086614173228347" top="0.7480314960629921" bottom="0.7480314960629921" header="0.3149606299212598" footer="0.3149606299212598"/>
  <pageSetup orientation="landscape" paperSize="9" scale="5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Carla Jorge</dc:creator>
  <dcterms:created xmlns:dcterms="http://purl.org/dc/terms/" xmlns:xsi="http://www.w3.org/2001/XMLSchema-instance" xsi:type="dcterms:W3CDTF">2023-03-14T16:50:26Z</dcterms:created>
  <dcterms:modified xmlns:dcterms="http://purl.org/dc/terms/" xmlns:xsi="http://www.w3.org/2001/XMLSchema-instance" xsi:type="dcterms:W3CDTF">2026-07-15T12:54:28Z</dcterms:modified>
  <cp:lastModifiedBy>Catarina Lopes</cp:lastModifiedBy>
  <cp:lastPrinted>2023-03-14T17:21:51Z</cp:lastPrinted>
</cp:coreProperties>
</file>